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guevara/Desktop/APP-FAQ/"/>
    </mc:Choice>
  </mc:AlternateContent>
  <xr:revisionPtr revIDLastSave="0" documentId="8_{08053C85-E4B5-8549-B063-5EBD63C4A190}" xr6:coauthVersionLast="47" xr6:coauthVersionMax="47" xr10:uidLastSave="{00000000-0000-0000-0000-000000000000}"/>
  <bookViews>
    <workbookView xWindow="5260" yWindow="4660" windowWidth="26040" windowHeight="14940" xr2:uid="{B415726D-3881-5444-B382-130FE126DBEC}"/>
  </bookViews>
  <sheets>
    <sheet name="Presupuesto General" sheetId="1" r:id="rId1"/>
    <sheet name="PORCENTAJ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54" i="2" l="1"/>
  <c r="K253" i="2"/>
  <c r="J253" i="2"/>
  <c r="I253" i="2"/>
  <c r="M251" i="2" s="1"/>
  <c r="M252" i="2"/>
  <c r="P252" i="2" s="1"/>
  <c r="N249" i="2"/>
  <c r="M249" i="2"/>
  <c r="P249" i="2" s="1"/>
  <c r="P247" i="2"/>
  <c r="O247" i="2"/>
  <c r="M247" i="2"/>
  <c r="N247" i="2" s="1"/>
  <c r="M246" i="2"/>
  <c r="P246" i="2" s="1"/>
  <c r="P241" i="2"/>
  <c r="O241" i="2"/>
  <c r="M241" i="2"/>
  <c r="N241" i="2" s="1"/>
  <c r="M240" i="2"/>
  <c r="N237" i="2"/>
  <c r="M237" i="2"/>
  <c r="M236" i="2"/>
  <c r="P236" i="2" s="1"/>
  <c r="M231" i="2"/>
  <c r="M230" i="2"/>
  <c r="M227" i="2"/>
  <c r="P225" i="2"/>
  <c r="O225" i="2"/>
  <c r="M225" i="2"/>
  <c r="N225" i="2" s="1"/>
  <c r="P221" i="2"/>
  <c r="O221" i="2"/>
  <c r="N221" i="2"/>
  <c r="M221" i="2"/>
  <c r="M220" i="2"/>
  <c r="P219" i="2"/>
  <c r="O219" i="2"/>
  <c r="M219" i="2"/>
  <c r="N219" i="2" s="1"/>
  <c r="M218" i="2"/>
  <c r="P218" i="2" s="1"/>
  <c r="N217" i="2"/>
  <c r="M217" i="2"/>
  <c r="P216" i="2"/>
  <c r="M216" i="2"/>
  <c r="O216" i="2" s="1"/>
  <c r="P215" i="2"/>
  <c r="M215" i="2"/>
  <c r="N215" i="2" s="1"/>
  <c r="M212" i="2"/>
  <c r="P212" i="2" s="1"/>
  <c r="N211" i="2"/>
  <c r="M211" i="2"/>
  <c r="P210" i="2"/>
  <c r="M210" i="2"/>
  <c r="O210" i="2" s="1"/>
  <c r="P209" i="2"/>
  <c r="O209" i="2"/>
  <c r="N209" i="2"/>
  <c r="M209" i="2"/>
  <c r="O208" i="2"/>
  <c r="N208" i="2"/>
  <c r="M208" i="2"/>
  <c r="P208" i="2" s="1"/>
  <c r="N207" i="2"/>
  <c r="M207" i="2"/>
  <c r="P207" i="2" s="1"/>
  <c r="N205" i="2"/>
  <c r="M205" i="2"/>
  <c r="O202" i="2"/>
  <c r="N202" i="2"/>
  <c r="M202" i="2"/>
  <c r="P202" i="2" s="1"/>
  <c r="P201" i="2"/>
  <c r="O201" i="2"/>
  <c r="N201" i="2"/>
  <c r="M201" i="2"/>
  <c r="M200" i="2"/>
  <c r="M199" i="2"/>
  <c r="O199" i="2" s="1"/>
  <c r="M198" i="2"/>
  <c r="P197" i="2"/>
  <c r="O197" i="2"/>
  <c r="M197" i="2"/>
  <c r="N197" i="2" s="1"/>
  <c r="P196" i="2"/>
  <c r="O196" i="2"/>
  <c r="N196" i="2"/>
  <c r="M196" i="2"/>
  <c r="M195" i="2"/>
  <c r="M192" i="2"/>
  <c r="N191" i="2"/>
  <c r="M191" i="2"/>
  <c r="P190" i="2"/>
  <c r="O190" i="2"/>
  <c r="N190" i="2"/>
  <c r="M190" i="2"/>
  <c r="N189" i="2"/>
  <c r="M189" i="2"/>
  <c r="P188" i="2"/>
  <c r="O188" i="2"/>
  <c r="N188" i="2"/>
  <c r="M188" i="2"/>
  <c r="P187" i="2"/>
  <c r="M187" i="2"/>
  <c r="N187" i="2" s="1"/>
  <c r="M186" i="2"/>
  <c r="P186" i="2" s="1"/>
  <c r="P185" i="2"/>
  <c r="O185" i="2"/>
  <c r="N185" i="2"/>
  <c r="M185" i="2"/>
  <c r="P182" i="2"/>
  <c r="O182" i="2"/>
  <c r="N182" i="2"/>
  <c r="M182" i="2"/>
  <c r="M181" i="2"/>
  <c r="O180" i="2"/>
  <c r="N180" i="2"/>
  <c r="M180" i="2"/>
  <c r="P180" i="2" s="1"/>
  <c r="P179" i="2"/>
  <c r="O179" i="2"/>
  <c r="N179" i="2"/>
  <c r="M179" i="2"/>
  <c r="M178" i="2"/>
  <c r="N177" i="2"/>
  <c r="M177" i="2"/>
  <c r="O177" i="2" s="1"/>
  <c r="M176" i="2"/>
  <c r="P175" i="2"/>
  <c r="O175" i="2"/>
  <c r="N175" i="2"/>
  <c r="M175" i="2"/>
  <c r="P172" i="2"/>
  <c r="M172" i="2"/>
  <c r="N172" i="2" s="1"/>
  <c r="M171" i="2"/>
  <c r="P171" i="2" s="1"/>
  <c r="M170" i="2"/>
  <c r="M169" i="2"/>
  <c r="N169" i="2" s="1"/>
  <c r="P168" i="2"/>
  <c r="O168" i="2"/>
  <c r="N168" i="2"/>
  <c r="M168" i="2"/>
  <c r="P167" i="2"/>
  <c r="N167" i="2"/>
  <c r="M167" i="2"/>
  <c r="O167" i="2" s="1"/>
  <c r="M166" i="2"/>
  <c r="O165" i="2"/>
  <c r="N165" i="2"/>
  <c r="M165" i="2"/>
  <c r="P165" i="2" s="1"/>
  <c r="P162" i="2"/>
  <c r="M162" i="2"/>
  <c r="N162" i="2" s="1"/>
  <c r="M161" i="2"/>
  <c r="P160" i="2"/>
  <c r="O160" i="2"/>
  <c r="M160" i="2"/>
  <c r="N160" i="2" s="1"/>
  <c r="P159" i="2"/>
  <c r="O159" i="2"/>
  <c r="N159" i="2"/>
  <c r="M159" i="2"/>
  <c r="M158" i="2"/>
  <c r="P158" i="2" s="1"/>
  <c r="P157" i="2"/>
  <c r="O157" i="2"/>
  <c r="N157" i="2"/>
  <c r="M157" i="2"/>
  <c r="P156" i="2"/>
  <c r="O156" i="2"/>
  <c r="N156" i="2"/>
  <c r="M156" i="2"/>
  <c r="M155" i="2"/>
  <c r="P155" i="2" s="1"/>
  <c r="O152" i="2"/>
  <c r="M152" i="2"/>
  <c r="P152" i="2" s="1"/>
  <c r="P151" i="2"/>
  <c r="O151" i="2"/>
  <c r="N151" i="2"/>
  <c r="M151" i="2"/>
  <c r="M150" i="2"/>
  <c r="P149" i="2"/>
  <c r="O149" i="2"/>
  <c r="M149" i="2"/>
  <c r="N149" i="2" s="1"/>
  <c r="P148" i="2"/>
  <c r="O148" i="2"/>
  <c r="M148" i="2"/>
  <c r="N148" i="2" s="1"/>
  <c r="M147" i="2"/>
  <c r="P146" i="2"/>
  <c r="O146" i="2"/>
  <c r="N146" i="2"/>
  <c r="M146" i="2"/>
  <c r="P145" i="2"/>
  <c r="N145" i="2"/>
  <c r="M145" i="2"/>
  <c r="O145" i="2" s="1"/>
  <c r="M142" i="2"/>
  <c r="P141" i="2"/>
  <c r="O141" i="2"/>
  <c r="N141" i="2"/>
  <c r="M141" i="2"/>
  <c r="P140" i="2"/>
  <c r="O140" i="2"/>
  <c r="N140" i="2"/>
  <c r="M140" i="2"/>
  <c r="M139" i="2"/>
  <c r="O139" i="2" s="1"/>
  <c r="O138" i="2"/>
  <c r="N138" i="2"/>
  <c r="M138" i="2"/>
  <c r="P138" i="2" s="1"/>
  <c r="P137" i="2"/>
  <c r="O137" i="2"/>
  <c r="N137" i="2"/>
  <c r="M137" i="2"/>
  <c r="M136" i="2"/>
  <c r="P136" i="2" s="1"/>
  <c r="P135" i="2"/>
  <c r="O135" i="2"/>
  <c r="N135" i="2"/>
  <c r="M135" i="2"/>
  <c r="P132" i="2"/>
  <c r="M132" i="2"/>
  <c r="N132" i="2" s="1"/>
  <c r="M131" i="2"/>
  <c r="M130" i="2"/>
  <c r="P130" i="2" s="1"/>
  <c r="P129" i="2"/>
  <c r="O129" i="2"/>
  <c r="N129" i="2"/>
  <c r="M129" i="2"/>
  <c r="M128" i="2"/>
  <c r="M127" i="2"/>
  <c r="P127" i="2" s="1"/>
  <c r="P126" i="2"/>
  <c r="O126" i="2"/>
  <c r="M126" i="2"/>
  <c r="N126" i="2" s="1"/>
  <c r="M125" i="2"/>
  <c r="P125" i="2" s="1"/>
  <c r="N122" i="2"/>
  <c r="M122" i="2"/>
  <c r="P122" i="2" s="1"/>
  <c r="P121" i="2"/>
  <c r="O121" i="2"/>
  <c r="N121" i="2"/>
  <c r="M121" i="2"/>
  <c r="M120" i="2"/>
  <c r="N120" i="2" s="1"/>
  <c r="M119" i="2"/>
  <c r="P119" i="2" s="1"/>
  <c r="P118" i="2"/>
  <c r="O118" i="2"/>
  <c r="N118" i="2"/>
  <c r="M118" i="2"/>
  <c r="M117" i="2"/>
  <c r="O117" i="2" s="1"/>
  <c r="P116" i="2"/>
  <c r="N116" i="2"/>
  <c r="M116" i="2"/>
  <c r="O116" i="2" s="1"/>
  <c r="N115" i="2"/>
  <c r="M115" i="2"/>
  <c r="M112" i="2"/>
  <c r="P112" i="2" s="1"/>
  <c r="N111" i="2"/>
  <c r="M111" i="2"/>
  <c r="O111" i="2" s="1"/>
  <c r="P110" i="2"/>
  <c r="O110" i="2"/>
  <c r="N110" i="2"/>
  <c r="M110" i="2"/>
  <c r="M109" i="2"/>
  <c r="P109" i="2" s="1"/>
  <c r="M108" i="2"/>
  <c r="P108" i="2" s="1"/>
  <c r="P107" i="2"/>
  <c r="O107" i="2"/>
  <c r="N107" i="2"/>
  <c r="M107" i="2"/>
  <c r="M106" i="2"/>
  <c r="P106" i="2" s="1"/>
  <c r="P105" i="2"/>
  <c r="M105" i="2"/>
  <c r="N105" i="2" s="1"/>
  <c r="O102" i="2"/>
  <c r="N102" i="2"/>
  <c r="M102" i="2"/>
  <c r="P102" i="2" s="1"/>
  <c r="P101" i="2"/>
  <c r="O101" i="2"/>
  <c r="N101" i="2"/>
  <c r="M101" i="2"/>
  <c r="M100" i="2"/>
  <c r="P100" i="2" s="1"/>
  <c r="P99" i="2"/>
  <c r="O99" i="2"/>
  <c r="N99" i="2"/>
  <c r="M99" i="2"/>
  <c r="M98" i="2"/>
  <c r="N98" i="2" s="1"/>
  <c r="P97" i="2"/>
  <c r="N97" i="2"/>
  <c r="M97" i="2"/>
  <c r="O97" i="2" s="1"/>
  <c r="M96" i="2"/>
  <c r="M95" i="2"/>
  <c r="O95" i="2" s="1"/>
  <c r="O92" i="2"/>
  <c r="M92" i="2"/>
  <c r="N92" i="2" s="1"/>
  <c r="P91" i="2"/>
  <c r="O91" i="2"/>
  <c r="N91" i="2"/>
  <c r="M91" i="2"/>
  <c r="N90" i="2"/>
  <c r="M90" i="2"/>
  <c r="P90" i="2" s="1"/>
  <c r="P89" i="2"/>
  <c r="N89" i="2"/>
  <c r="M89" i="2"/>
  <c r="O89" i="2" s="1"/>
  <c r="P88" i="2"/>
  <c r="O88" i="2"/>
  <c r="N88" i="2"/>
  <c r="M88" i="2"/>
  <c r="M87" i="2"/>
  <c r="P87" i="2" s="1"/>
  <c r="O86" i="2"/>
  <c r="M86" i="2"/>
  <c r="P86" i="2" s="1"/>
  <c r="P85" i="2"/>
  <c r="O85" i="2"/>
  <c r="N85" i="2"/>
  <c r="M85" i="2"/>
  <c r="P82" i="2"/>
  <c r="O82" i="2"/>
  <c r="N82" i="2"/>
  <c r="M82" i="2"/>
  <c r="M81" i="2"/>
  <c r="P81" i="2" s="1"/>
  <c r="F81" i="2"/>
  <c r="F82" i="2" s="1"/>
  <c r="F85" i="2" s="1"/>
  <c r="F86" i="2" s="1"/>
  <c r="F87" i="2" s="1"/>
  <c r="F88" i="2" s="1"/>
  <c r="F89" i="2" s="1"/>
  <c r="F90" i="2" s="1"/>
  <c r="F91" i="2" s="1"/>
  <c r="F92" i="2" s="1"/>
  <c r="F95" i="2" s="1"/>
  <c r="F96" i="2" s="1"/>
  <c r="F97" i="2" s="1"/>
  <c r="F98" i="2" s="1"/>
  <c r="F99" i="2" s="1"/>
  <c r="F100" i="2" s="1"/>
  <c r="F101" i="2" s="1"/>
  <c r="F102" i="2" s="1"/>
  <c r="F105" i="2" s="1"/>
  <c r="F106" i="2" s="1"/>
  <c r="F107" i="2" s="1"/>
  <c r="F108" i="2" s="1"/>
  <c r="F109" i="2" s="1"/>
  <c r="F110" i="2" s="1"/>
  <c r="F111" i="2" s="1"/>
  <c r="F112" i="2" s="1"/>
  <c r="F115" i="2" s="1"/>
  <c r="F116" i="2" s="1"/>
  <c r="F117" i="2" s="1"/>
  <c r="F118" i="2" s="1"/>
  <c r="F119" i="2" s="1"/>
  <c r="F120" i="2" s="1"/>
  <c r="F121" i="2" s="1"/>
  <c r="F122" i="2" s="1"/>
  <c r="F125" i="2" s="1"/>
  <c r="F126" i="2" s="1"/>
  <c r="F127" i="2" s="1"/>
  <c r="F128" i="2" s="1"/>
  <c r="F129" i="2" s="1"/>
  <c r="F130" i="2" s="1"/>
  <c r="F131" i="2" s="1"/>
  <c r="F132" i="2" s="1"/>
  <c r="F135" i="2" s="1"/>
  <c r="F136" i="2" s="1"/>
  <c r="F137" i="2" s="1"/>
  <c r="F138" i="2" s="1"/>
  <c r="F139" i="2" s="1"/>
  <c r="F140" i="2" s="1"/>
  <c r="F141" i="2" s="1"/>
  <c r="F142" i="2" s="1"/>
  <c r="F145" i="2" s="1"/>
  <c r="F146" i="2" s="1"/>
  <c r="F147" i="2" s="1"/>
  <c r="F148" i="2" s="1"/>
  <c r="F149" i="2" s="1"/>
  <c r="F150" i="2" s="1"/>
  <c r="F151" i="2" s="1"/>
  <c r="F152" i="2" s="1"/>
  <c r="F155" i="2" s="1"/>
  <c r="F156" i="2" s="1"/>
  <c r="F157" i="2" s="1"/>
  <c r="F158" i="2" s="1"/>
  <c r="F159" i="2" s="1"/>
  <c r="F160" i="2" s="1"/>
  <c r="F161" i="2" s="1"/>
  <c r="F162" i="2" s="1"/>
  <c r="F165" i="2" s="1"/>
  <c r="F166" i="2" s="1"/>
  <c r="F167" i="2" s="1"/>
  <c r="F168" i="2" s="1"/>
  <c r="F169" i="2" s="1"/>
  <c r="F170" i="2" s="1"/>
  <c r="F171" i="2" s="1"/>
  <c r="F172" i="2" s="1"/>
  <c r="F175" i="2" s="1"/>
  <c r="F176" i="2" s="1"/>
  <c r="F177" i="2" s="1"/>
  <c r="F178" i="2" s="1"/>
  <c r="F179" i="2" s="1"/>
  <c r="F180" i="2" s="1"/>
  <c r="F181" i="2" s="1"/>
  <c r="F182" i="2" s="1"/>
  <c r="F185" i="2" s="1"/>
  <c r="F186" i="2" s="1"/>
  <c r="F187" i="2" s="1"/>
  <c r="F188" i="2" s="1"/>
  <c r="F189" i="2" s="1"/>
  <c r="F190" i="2" s="1"/>
  <c r="F191" i="2" s="1"/>
  <c r="F192" i="2" s="1"/>
  <c r="F195" i="2" s="1"/>
  <c r="F196" i="2" s="1"/>
  <c r="F197" i="2" s="1"/>
  <c r="F198" i="2" s="1"/>
  <c r="F199" i="2" s="1"/>
  <c r="F200" i="2" s="1"/>
  <c r="F201" i="2" s="1"/>
  <c r="F202" i="2" s="1"/>
  <c r="F205" i="2" s="1"/>
  <c r="F206" i="2" s="1"/>
  <c r="F207" i="2" s="1"/>
  <c r="F208" i="2" s="1"/>
  <c r="F209" i="2" s="1"/>
  <c r="F210" i="2" s="1"/>
  <c r="F211" i="2" s="1"/>
  <c r="F212" i="2" s="1"/>
  <c r="F215" i="2" s="1"/>
  <c r="F216" i="2" s="1"/>
  <c r="F217" i="2" s="1"/>
  <c r="F218" i="2" s="1"/>
  <c r="F219" i="2" s="1"/>
  <c r="F220" i="2" s="1"/>
  <c r="F221" i="2" s="1"/>
  <c r="F222" i="2" s="1"/>
  <c r="F225" i="2" s="1"/>
  <c r="F226" i="2" s="1"/>
  <c r="F227" i="2" s="1"/>
  <c r="F228" i="2" s="1"/>
  <c r="F229" i="2" s="1"/>
  <c r="F230" i="2" s="1"/>
  <c r="F231" i="2" s="1"/>
  <c r="F232" i="2" s="1"/>
  <c r="F235" i="2" s="1"/>
  <c r="F236" i="2" s="1"/>
  <c r="F237" i="2" s="1"/>
  <c r="F238" i="2" s="1"/>
  <c r="F239" i="2" s="1"/>
  <c r="F240" i="2" s="1"/>
  <c r="F241" i="2" s="1"/>
  <c r="F242" i="2" s="1"/>
  <c r="F245" i="2" s="1"/>
  <c r="F246" i="2" s="1"/>
  <c r="F247" i="2" s="1"/>
  <c r="F248" i="2" s="1"/>
  <c r="F249" i="2" s="1"/>
  <c r="F250" i="2" s="1"/>
  <c r="F251" i="2" s="1"/>
  <c r="F252" i="2" s="1"/>
  <c r="M80" i="2"/>
  <c r="P80" i="2" s="1"/>
  <c r="P79" i="2"/>
  <c r="O79" i="2"/>
  <c r="N79" i="2"/>
  <c r="M79" i="2"/>
  <c r="M78" i="2"/>
  <c r="M77" i="2"/>
  <c r="P77" i="2" s="1"/>
  <c r="P76" i="2"/>
  <c r="M76" i="2"/>
  <c r="N76" i="2" s="1"/>
  <c r="F76" i="2"/>
  <c r="F77" i="2" s="1"/>
  <c r="F78" i="2" s="1"/>
  <c r="F79" i="2" s="1"/>
  <c r="F80" i="2" s="1"/>
  <c r="M75" i="2"/>
  <c r="T73" i="2"/>
  <c r="S73" i="2"/>
  <c r="M72" i="2"/>
  <c r="N72" i="2" s="1"/>
  <c r="M71" i="2"/>
  <c r="P71" i="2" s="1"/>
  <c r="D71" i="2"/>
  <c r="D72" i="2" s="1"/>
  <c r="P70" i="2"/>
  <c r="N70" i="2"/>
  <c r="M70" i="2"/>
  <c r="O70" i="2" s="1"/>
  <c r="D70" i="2"/>
  <c r="P69" i="2"/>
  <c r="O69" i="2"/>
  <c r="N69" i="2"/>
  <c r="M69" i="2"/>
  <c r="D69" i="2"/>
  <c r="M68" i="2"/>
  <c r="P68" i="2" s="1"/>
  <c r="P67" i="2"/>
  <c r="N67" i="2"/>
  <c r="M67" i="2"/>
  <c r="O67" i="2" s="1"/>
  <c r="P66" i="2"/>
  <c r="O66" i="2"/>
  <c r="N66" i="2"/>
  <c r="M66" i="2"/>
  <c r="N65" i="2"/>
  <c r="M65" i="2"/>
  <c r="M64" i="2"/>
  <c r="P63" i="2"/>
  <c r="O63" i="2"/>
  <c r="N63" i="2"/>
  <c r="M63" i="2"/>
  <c r="M62" i="2"/>
  <c r="P62" i="2" s="1"/>
  <c r="N61" i="2"/>
  <c r="M61" i="2"/>
  <c r="P60" i="2"/>
  <c r="O60" i="2"/>
  <c r="M60" i="2"/>
  <c r="N60" i="2" s="1"/>
  <c r="P59" i="2"/>
  <c r="M59" i="2"/>
  <c r="O59" i="2" s="1"/>
  <c r="M58" i="2"/>
  <c r="P58" i="2" s="1"/>
  <c r="P57" i="2"/>
  <c r="N57" i="2"/>
  <c r="M57" i="2"/>
  <c r="O57" i="2" s="1"/>
  <c r="O56" i="2"/>
  <c r="N56" i="2"/>
  <c r="M56" i="2"/>
  <c r="P56" i="2" s="1"/>
  <c r="M55" i="2"/>
  <c r="P55" i="2" s="1"/>
  <c r="O54" i="2"/>
  <c r="M54" i="2"/>
  <c r="P53" i="2"/>
  <c r="O53" i="2"/>
  <c r="N53" i="2"/>
  <c r="M53" i="2"/>
  <c r="P52" i="2"/>
  <c r="M52" i="2"/>
  <c r="O52" i="2" s="1"/>
  <c r="M51" i="2"/>
  <c r="O51" i="2" s="1"/>
  <c r="M50" i="2"/>
  <c r="N50" i="2" s="1"/>
  <c r="O49" i="2"/>
  <c r="N49" i="2"/>
  <c r="M49" i="2"/>
  <c r="P49" i="2" s="1"/>
  <c r="N48" i="2"/>
  <c r="M48" i="2"/>
  <c r="P48" i="2" s="1"/>
  <c r="P47" i="2"/>
  <c r="N47" i="2"/>
  <c r="M47" i="2"/>
  <c r="O47" i="2" s="1"/>
  <c r="M46" i="2"/>
  <c r="P46" i="2" s="1"/>
  <c r="P45" i="2"/>
  <c r="M45" i="2"/>
  <c r="O45" i="2" s="1"/>
  <c r="M44" i="2"/>
  <c r="O44" i="2" s="1"/>
  <c r="P43" i="2"/>
  <c r="O43" i="2"/>
  <c r="N43" i="2"/>
  <c r="M43" i="2"/>
  <c r="P42" i="2"/>
  <c r="O42" i="2"/>
  <c r="N42" i="2"/>
  <c r="M42" i="2"/>
  <c r="M41" i="2"/>
  <c r="O41" i="2" s="1"/>
  <c r="P40" i="2"/>
  <c r="O40" i="2"/>
  <c r="M40" i="2"/>
  <c r="N40" i="2" s="1"/>
  <c r="M39" i="2"/>
  <c r="P39" i="2" s="1"/>
  <c r="M38" i="2"/>
  <c r="P38" i="2" s="1"/>
  <c r="P37" i="2"/>
  <c r="N37" i="2"/>
  <c r="M37" i="2"/>
  <c r="O37" i="2" s="1"/>
  <c r="O36" i="2"/>
  <c r="M36" i="2"/>
  <c r="P36" i="2" s="1"/>
  <c r="P35" i="2"/>
  <c r="O35" i="2"/>
  <c r="N35" i="2"/>
  <c r="M35" i="2"/>
  <c r="M34" i="2"/>
  <c r="P33" i="2"/>
  <c r="O33" i="2"/>
  <c r="N33" i="2"/>
  <c r="M33" i="2"/>
  <c r="M32" i="2"/>
  <c r="N32" i="2" s="1"/>
  <c r="M31" i="2"/>
  <c r="O31" i="2" s="1"/>
  <c r="P30" i="2"/>
  <c r="O30" i="2"/>
  <c r="M30" i="2"/>
  <c r="N30" i="2" s="1"/>
  <c r="M29" i="2"/>
  <c r="P29" i="2" s="1"/>
  <c r="O28" i="2"/>
  <c r="N28" i="2"/>
  <c r="M28" i="2"/>
  <c r="P28" i="2" s="1"/>
  <c r="P27" i="2"/>
  <c r="N27" i="2"/>
  <c r="M27" i="2"/>
  <c r="O27" i="2" s="1"/>
  <c r="M26" i="2"/>
  <c r="P26" i="2" s="1"/>
  <c r="M25" i="2"/>
  <c r="P25" i="2" s="1"/>
  <c r="M24" i="2"/>
  <c r="P23" i="2"/>
  <c r="N23" i="2"/>
  <c r="M23" i="2"/>
  <c r="M22" i="2"/>
  <c r="N22" i="2" s="1"/>
  <c r="P21" i="2"/>
  <c r="N21" i="2"/>
  <c r="M21" i="2"/>
  <c r="O21" i="2" s="1"/>
  <c r="M20" i="2"/>
  <c r="P20" i="2" s="1"/>
  <c r="P19" i="2"/>
  <c r="O19" i="2"/>
  <c r="M19" i="2"/>
  <c r="N19" i="2" s="1"/>
  <c r="M18" i="2"/>
  <c r="M17" i="2"/>
  <c r="P17" i="2" s="1"/>
  <c r="M16" i="2"/>
  <c r="P16" i="2" s="1"/>
  <c r="M15" i="2"/>
  <c r="O15" i="2" s="1"/>
  <c r="P14" i="2"/>
  <c r="O14" i="2"/>
  <c r="N14" i="2"/>
  <c r="M14" i="2"/>
  <c r="O13" i="2"/>
  <c r="M13" i="2"/>
  <c r="P13" i="2" s="1"/>
  <c r="P12" i="2"/>
  <c r="M12" i="2"/>
  <c r="N12" i="2" s="1"/>
  <c r="M11" i="2"/>
  <c r="P11" i="2" s="1"/>
  <c r="M10" i="2"/>
  <c r="P10" i="2" s="1"/>
  <c r="O9" i="2"/>
  <c r="N9" i="2"/>
  <c r="M9" i="2"/>
  <c r="P9" i="2" s="1"/>
  <c r="P8" i="2"/>
  <c r="O8" i="2"/>
  <c r="N8" i="2"/>
  <c r="M8" i="2"/>
  <c r="G8" i="2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5" i="2" s="1"/>
  <c r="G76" i="2" s="1"/>
  <c r="G77" i="2" s="1"/>
  <c r="G78" i="2" s="1"/>
  <c r="G79" i="2" s="1"/>
  <c r="G80" i="2" s="1"/>
  <c r="G81" i="2" s="1"/>
  <c r="G82" i="2" s="1"/>
  <c r="G85" i="2" s="1"/>
  <c r="G86" i="2" s="1"/>
  <c r="G87" i="2" s="1"/>
  <c r="G88" i="2" s="1"/>
  <c r="G89" i="2" s="1"/>
  <c r="G90" i="2" s="1"/>
  <c r="G91" i="2" s="1"/>
  <c r="G92" i="2" s="1"/>
  <c r="G95" i="2" s="1"/>
  <c r="G96" i="2" s="1"/>
  <c r="G97" i="2" s="1"/>
  <c r="G98" i="2" s="1"/>
  <c r="G99" i="2" s="1"/>
  <c r="G100" i="2" s="1"/>
  <c r="G101" i="2" s="1"/>
  <c r="G102" i="2" s="1"/>
  <c r="G105" i="2" s="1"/>
  <c r="G106" i="2" s="1"/>
  <c r="G107" i="2" s="1"/>
  <c r="G108" i="2" s="1"/>
  <c r="G109" i="2" s="1"/>
  <c r="G110" i="2" s="1"/>
  <c r="G111" i="2" s="1"/>
  <c r="G112" i="2" s="1"/>
  <c r="G115" i="2" s="1"/>
  <c r="G116" i="2" s="1"/>
  <c r="G117" i="2" s="1"/>
  <c r="G118" i="2" s="1"/>
  <c r="G119" i="2" s="1"/>
  <c r="G120" i="2" s="1"/>
  <c r="G121" i="2" s="1"/>
  <c r="G122" i="2" s="1"/>
  <c r="G125" i="2" s="1"/>
  <c r="G126" i="2" s="1"/>
  <c r="G127" i="2" s="1"/>
  <c r="G128" i="2" s="1"/>
  <c r="G129" i="2" s="1"/>
  <c r="G130" i="2" s="1"/>
  <c r="G131" i="2" s="1"/>
  <c r="G132" i="2" s="1"/>
  <c r="G135" i="2" s="1"/>
  <c r="G136" i="2" s="1"/>
  <c r="G137" i="2" s="1"/>
  <c r="G138" i="2" s="1"/>
  <c r="G139" i="2" s="1"/>
  <c r="G140" i="2" s="1"/>
  <c r="G141" i="2" s="1"/>
  <c r="G142" i="2" s="1"/>
  <c r="G145" i="2" s="1"/>
  <c r="G146" i="2" s="1"/>
  <c r="G147" i="2" s="1"/>
  <c r="G148" i="2" s="1"/>
  <c r="G149" i="2" s="1"/>
  <c r="G150" i="2" s="1"/>
  <c r="G151" i="2" s="1"/>
  <c r="G152" i="2" s="1"/>
  <c r="G155" i="2" s="1"/>
  <c r="G156" i="2" s="1"/>
  <c r="G157" i="2" s="1"/>
  <c r="G158" i="2" s="1"/>
  <c r="G159" i="2" s="1"/>
  <c r="G160" i="2" s="1"/>
  <c r="G161" i="2" s="1"/>
  <c r="G162" i="2" s="1"/>
  <c r="G165" i="2" s="1"/>
  <c r="G166" i="2" s="1"/>
  <c r="G167" i="2" s="1"/>
  <c r="G168" i="2" s="1"/>
  <c r="G169" i="2" s="1"/>
  <c r="G170" i="2" s="1"/>
  <c r="G171" i="2" s="1"/>
  <c r="G172" i="2" s="1"/>
  <c r="G175" i="2" s="1"/>
  <c r="G176" i="2" s="1"/>
  <c r="G177" i="2" s="1"/>
  <c r="G178" i="2" s="1"/>
  <c r="G179" i="2" s="1"/>
  <c r="G180" i="2" s="1"/>
  <c r="G181" i="2" s="1"/>
  <c r="G182" i="2" s="1"/>
  <c r="G185" i="2" s="1"/>
  <c r="G186" i="2" s="1"/>
  <c r="G187" i="2" s="1"/>
  <c r="G188" i="2" s="1"/>
  <c r="G189" i="2" s="1"/>
  <c r="G190" i="2" s="1"/>
  <c r="G191" i="2" s="1"/>
  <c r="G192" i="2" s="1"/>
  <c r="G195" i="2" s="1"/>
  <c r="G196" i="2" s="1"/>
  <c r="G197" i="2" s="1"/>
  <c r="G198" i="2" s="1"/>
  <c r="G199" i="2" s="1"/>
  <c r="G200" i="2" s="1"/>
  <c r="G201" i="2" s="1"/>
  <c r="G202" i="2" s="1"/>
  <c r="G205" i="2" s="1"/>
  <c r="G206" i="2" s="1"/>
  <c r="G207" i="2" s="1"/>
  <c r="G208" i="2" s="1"/>
  <c r="G209" i="2" s="1"/>
  <c r="G210" i="2" s="1"/>
  <c r="G211" i="2" s="1"/>
  <c r="G212" i="2" s="1"/>
  <c r="G215" i="2" s="1"/>
  <c r="G216" i="2" s="1"/>
  <c r="G217" i="2" s="1"/>
  <c r="G218" i="2" s="1"/>
  <c r="G219" i="2" s="1"/>
  <c r="G220" i="2" s="1"/>
  <c r="G221" i="2" s="1"/>
  <c r="G222" i="2" s="1"/>
  <c r="G225" i="2" s="1"/>
  <c r="G226" i="2" s="1"/>
  <c r="G227" i="2" s="1"/>
  <c r="G228" i="2" s="1"/>
  <c r="G229" i="2" s="1"/>
  <c r="G230" i="2" s="1"/>
  <c r="G231" i="2" s="1"/>
  <c r="G232" i="2" s="1"/>
  <c r="G235" i="2" s="1"/>
  <c r="G236" i="2" s="1"/>
  <c r="G237" i="2" s="1"/>
  <c r="G238" i="2" s="1"/>
  <c r="G239" i="2" s="1"/>
  <c r="G240" i="2" s="1"/>
  <c r="G241" i="2" s="1"/>
  <c r="G242" i="2" s="1"/>
  <c r="G245" i="2" s="1"/>
  <c r="G246" i="2" s="1"/>
  <c r="G247" i="2" s="1"/>
  <c r="G248" i="2" s="1"/>
  <c r="G249" i="2" s="1"/>
  <c r="G250" i="2" s="1"/>
  <c r="G251" i="2" s="1"/>
  <c r="G252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M7" i="2"/>
  <c r="A2" i="2"/>
  <c r="G62" i="1"/>
  <c r="H62" i="1" s="1"/>
  <c r="I62" i="1" s="1"/>
  <c r="G61" i="1"/>
  <c r="H61" i="1" s="1"/>
  <c r="I61" i="1" s="1"/>
  <c r="G60" i="1"/>
  <c r="H60" i="1" s="1"/>
  <c r="I60" i="1" s="1"/>
  <c r="G59" i="1"/>
  <c r="H59" i="1" s="1"/>
  <c r="I59" i="1" s="1"/>
  <c r="G58" i="1"/>
  <c r="H58" i="1" s="1"/>
  <c r="I58" i="1" s="1"/>
  <c r="I57" i="1"/>
  <c r="H57" i="1"/>
  <c r="G57" i="1"/>
  <c r="G56" i="1"/>
  <c r="H56" i="1" s="1"/>
  <c r="I56" i="1" s="1"/>
  <c r="G55" i="1"/>
  <c r="H55" i="1" s="1"/>
  <c r="I55" i="1" s="1"/>
  <c r="G54" i="1"/>
  <c r="H54" i="1" s="1"/>
  <c r="I54" i="1" s="1"/>
  <c r="G53" i="1"/>
  <c r="H53" i="1" s="1"/>
  <c r="I53" i="1" s="1"/>
  <c r="G52" i="1"/>
  <c r="H52" i="1" s="1"/>
  <c r="I52" i="1" s="1"/>
  <c r="G51" i="1"/>
  <c r="H51" i="1" s="1"/>
  <c r="I51" i="1" s="1"/>
  <c r="G50" i="1"/>
  <c r="H50" i="1" s="1"/>
  <c r="I50" i="1" s="1"/>
  <c r="G49" i="1"/>
  <c r="H49" i="1" s="1"/>
  <c r="I49" i="1" s="1"/>
  <c r="G48" i="1"/>
  <c r="H48" i="1" s="1"/>
  <c r="I48" i="1" s="1"/>
  <c r="H47" i="1"/>
  <c r="I47" i="1" s="1"/>
  <c r="G47" i="1"/>
  <c r="G46" i="1"/>
  <c r="H46" i="1" s="1"/>
  <c r="I46" i="1" s="1"/>
  <c r="G45" i="1"/>
  <c r="H45" i="1" s="1"/>
  <c r="I45" i="1" s="1"/>
  <c r="G44" i="1"/>
  <c r="H44" i="1" s="1"/>
  <c r="I44" i="1" s="1"/>
  <c r="G43" i="1"/>
  <c r="H43" i="1" s="1"/>
  <c r="I43" i="1" s="1"/>
  <c r="G42" i="1"/>
  <c r="H42" i="1" s="1"/>
  <c r="I42" i="1" s="1"/>
  <c r="G41" i="1"/>
  <c r="H41" i="1" s="1"/>
  <c r="I41" i="1" s="1"/>
  <c r="G40" i="1"/>
  <c r="H40" i="1" s="1"/>
  <c r="I40" i="1" s="1"/>
  <c r="G39" i="1"/>
  <c r="H39" i="1" s="1"/>
  <c r="I39" i="1" s="1"/>
  <c r="G38" i="1"/>
  <c r="H38" i="1" s="1"/>
  <c r="I38" i="1" s="1"/>
  <c r="H37" i="1"/>
  <c r="I37" i="1" s="1"/>
  <c r="G37" i="1"/>
  <c r="G36" i="1"/>
  <c r="H36" i="1" s="1"/>
  <c r="I36" i="1" s="1"/>
  <c r="G35" i="1"/>
  <c r="H35" i="1" s="1"/>
  <c r="I35" i="1" s="1"/>
  <c r="G34" i="1"/>
  <c r="H34" i="1" s="1"/>
  <c r="I34" i="1" s="1"/>
  <c r="G33" i="1"/>
  <c r="H33" i="1" s="1"/>
  <c r="I33" i="1" s="1"/>
  <c r="G32" i="1"/>
  <c r="H32" i="1" s="1"/>
  <c r="I32" i="1" s="1"/>
  <c r="G31" i="1"/>
  <c r="H31" i="1" s="1"/>
  <c r="I31" i="1" s="1"/>
  <c r="G30" i="1"/>
  <c r="H30" i="1" s="1"/>
  <c r="I30" i="1" s="1"/>
  <c r="G29" i="1"/>
  <c r="H29" i="1" s="1"/>
  <c r="G26" i="1"/>
  <c r="H25" i="1"/>
  <c r="I25" i="1" s="1"/>
  <c r="G25" i="1"/>
  <c r="G24" i="1"/>
  <c r="H24" i="1" s="1"/>
  <c r="G20" i="1"/>
  <c r="H20" i="1" s="1"/>
  <c r="I20" i="1" s="1"/>
  <c r="G19" i="1"/>
  <c r="H19" i="1" s="1"/>
  <c r="I19" i="1" s="1"/>
  <c r="G18" i="1"/>
  <c r="H18" i="1" s="1"/>
  <c r="I18" i="1" s="1"/>
  <c r="G17" i="1"/>
  <c r="G21" i="1" s="1"/>
  <c r="G12" i="1"/>
  <c r="H12" i="1" s="1"/>
  <c r="I12" i="1" s="1"/>
  <c r="H11" i="1"/>
  <c r="I11" i="1" s="1"/>
  <c r="G11" i="1"/>
  <c r="G10" i="1"/>
  <c r="H10" i="1" s="1"/>
  <c r="I10" i="1" s="1"/>
  <c r="G9" i="1"/>
  <c r="H9" i="1" s="1"/>
  <c r="I9" i="1" s="1"/>
  <c r="G8" i="1"/>
  <c r="H8" i="1" s="1"/>
  <c r="I8" i="1" s="1"/>
  <c r="G7" i="1"/>
  <c r="H7" i="1" s="1"/>
  <c r="I7" i="1" s="1"/>
  <c r="G6" i="1"/>
  <c r="P54" i="2" l="1"/>
  <c r="N54" i="2"/>
  <c r="P205" i="2"/>
  <c r="O205" i="2"/>
  <c r="N25" i="2"/>
  <c r="N11" i="2"/>
  <c r="N16" i="2"/>
  <c r="P18" i="2"/>
  <c r="N18" i="2"/>
  <c r="O25" i="2"/>
  <c r="O32" i="2"/>
  <c r="N39" i="2"/>
  <c r="N46" i="2"/>
  <c r="N51" i="2"/>
  <c r="P150" i="2"/>
  <c r="O150" i="2"/>
  <c r="P231" i="2"/>
  <c r="O231" i="2"/>
  <c r="N231" i="2"/>
  <c r="P44" i="2"/>
  <c r="N44" i="2"/>
  <c r="P166" i="2"/>
  <c r="O166" i="2"/>
  <c r="N166" i="2"/>
  <c r="N13" i="2"/>
  <c r="O16" i="2"/>
  <c r="O18" i="2"/>
  <c r="N20" i="2"/>
  <c r="P32" i="2"/>
  <c r="P34" i="2"/>
  <c r="N34" i="2"/>
  <c r="O39" i="2"/>
  <c r="O46" i="2"/>
  <c r="P51" i="2"/>
  <c r="N58" i="2"/>
  <c r="N62" i="2"/>
  <c r="P78" i="2"/>
  <c r="O78" i="2"/>
  <c r="N78" i="2"/>
  <c r="N150" i="2"/>
  <c r="O161" i="2"/>
  <c r="P161" i="2"/>
  <c r="N161" i="2"/>
  <c r="P169" i="2"/>
  <c r="O169" i="2"/>
  <c r="P72" i="2"/>
  <c r="O72" i="2"/>
  <c r="O20" i="2"/>
  <c r="N29" i="2"/>
  <c r="O34" i="2"/>
  <c r="N36" i="2"/>
  <c r="N41" i="2"/>
  <c r="O58" i="2"/>
  <c r="O62" i="2"/>
  <c r="P64" i="2"/>
  <c r="O64" i="2"/>
  <c r="N64" i="2"/>
  <c r="P147" i="2"/>
  <c r="O147" i="2"/>
  <c r="N147" i="2"/>
  <c r="N176" i="2"/>
  <c r="O176" i="2"/>
  <c r="P176" i="2"/>
  <c r="P191" i="2"/>
  <c r="O191" i="2"/>
  <c r="P41" i="2"/>
  <c r="N55" i="2"/>
  <c r="P75" i="2"/>
  <c r="O75" i="2"/>
  <c r="P96" i="2"/>
  <c r="O96" i="2"/>
  <c r="P131" i="2"/>
  <c r="O131" i="2"/>
  <c r="N131" i="2"/>
  <c r="N142" i="2"/>
  <c r="P142" i="2"/>
  <c r="O142" i="2"/>
  <c r="P24" i="2"/>
  <c r="N24" i="2"/>
  <c r="O29" i="2"/>
  <c r="N10" i="2"/>
  <c r="O24" i="2"/>
  <c r="N26" i="2"/>
  <c r="N31" i="2"/>
  <c r="O48" i="2"/>
  <c r="O50" i="2"/>
  <c r="O55" i="2"/>
  <c r="N75" i="2"/>
  <c r="N96" i="2"/>
  <c r="P181" i="2"/>
  <c r="O181" i="2"/>
  <c r="N7" i="2"/>
  <c r="O10" i="2"/>
  <c r="N17" i="2"/>
  <c r="P22" i="2"/>
  <c r="O26" i="2"/>
  <c r="P31" i="2"/>
  <c r="N38" i="2"/>
  <c r="N45" i="2"/>
  <c r="P50" i="2"/>
  <c r="N52" i="2"/>
  <c r="N59" i="2"/>
  <c r="P65" i="2"/>
  <c r="O65" i="2"/>
  <c r="N181" i="2"/>
  <c r="P200" i="2"/>
  <c r="O200" i="2"/>
  <c r="N200" i="2"/>
  <c r="P15" i="2"/>
  <c r="N15" i="2"/>
  <c r="P7" i="2"/>
  <c r="O38" i="2"/>
  <c r="P61" i="2"/>
  <c r="O61" i="2"/>
  <c r="P115" i="2"/>
  <c r="O115" i="2"/>
  <c r="P128" i="2"/>
  <c r="O128" i="2"/>
  <c r="N128" i="2"/>
  <c r="P178" i="2"/>
  <c r="O178" i="2"/>
  <c r="N178" i="2"/>
  <c r="O189" i="2"/>
  <c r="P189" i="2"/>
  <c r="N198" i="2"/>
  <c r="O198" i="2"/>
  <c r="P198" i="2"/>
  <c r="P227" i="2"/>
  <c r="O227" i="2"/>
  <c r="N227" i="2"/>
  <c r="O76" i="2"/>
  <c r="O105" i="2"/>
  <c r="O108" i="2"/>
  <c r="O132" i="2"/>
  <c r="O162" i="2"/>
  <c r="O172" i="2"/>
  <c r="P177" i="2"/>
  <c r="O187" i="2"/>
  <c r="P199" i="2"/>
  <c r="O211" i="2"/>
  <c r="P211" i="2"/>
  <c r="O215" i="2"/>
  <c r="P230" i="2"/>
  <c r="O230" i="2"/>
  <c r="N230" i="2"/>
  <c r="P237" i="2"/>
  <c r="O237" i="2"/>
  <c r="N218" i="2"/>
  <c r="N220" i="2"/>
  <c r="P220" i="2"/>
  <c r="O220" i="2"/>
  <c r="N68" i="2"/>
  <c r="N81" i="2"/>
  <c r="N87" i="2"/>
  <c r="N112" i="2"/>
  <c r="O120" i="2"/>
  <c r="N125" i="2"/>
  <c r="N139" i="2"/>
  <c r="N155" i="2"/>
  <c r="N158" i="2"/>
  <c r="N171" i="2"/>
  <c r="N186" i="2"/>
  <c r="N212" i="2"/>
  <c r="O218" i="2"/>
  <c r="O68" i="2"/>
  <c r="N71" i="2"/>
  <c r="O81" i="2"/>
  <c r="O87" i="2"/>
  <c r="O98" i="2"/>
  <c r="N106" i="2"/>
  <c r="N109" i="2"/>
  <c r="O112" i="2"/>
  <c r="N117" i="2"/>
  <c r="P120" i="2"/>
  <c r="O125" i="2"/>
  <c r="N136" i="2"/>
  <c r="P139" i="2"/>
  <c r="O155" i="2"/>
  <c r="O158" i="2"/>
  <c r="O171" i="2"/>
  <c r="O186" i="2"/>
  <c r="O195" i="2"/>
  <c r="P195" i="2"/>
  <c r="O212" i="2"/>
  <c r="P240" i="2"/>
  <c r="O240" i="2"/>
  <c r="N240" i="2"/>
  <c r="O71" i="2"/>
  <c r="N77" i="2"/>
  <c r="O90" i="2"/>
  <c r="N95" i="2"/>
  <c r="P98" i="2"/>
  <c r="O106" i="2"/>
  <c r="O109" i="2"/>
  <c r="P117" i="2"/>
  <c r="O136" i="2"/>
  <c r="N152" i="2"/>
  <c r="N195" i="2"/>
  <c r="P251" i="2"/>
  <c r="O251" i="2"/>
  <c r="N251" i="2"/>
  <c r="O77" i="2"/>
  <c r="N80" i="2"/>
  <c r="N86" i="2"/>
  <c r="P95" i="2"/>
  <c r="N100" i="2"/>
  <c r="N119" i="2"/>
  <c r="O122" i="2"/>
  <c r="N127" i="2"/>
  <c r="N130" i="2"/>
  <c r="O80" i="2"/>
  <c r="O100" i="2"/>
  <c r="O119" i="2"/>
  <c r="O127" i="2"/>
  <c r="O130" i="2"/>
  <c r="N170" i="2"/>
  <c r="O170" i="2"/>
  <c r="N192" i="2"/>
  <c r="O192" i="2"/>
  <c r="N199" i="2"/>
  <c r="P92" i="2"/>
  <c r="N108" i="2"/>
  <c r="P111" i="2"/>
  <c r="P170" i="2"/>
  <c r="P192" i="2"/>
  <c r="O217" i="2"/>
  <c r="P217" i="2"/>
  <c r="M232" i="2"/>
  <c r="M238" i="2"/>
  <c r="O207" i="2"/>
  <c r="N210" i="2"/>
  <c r="N216" i="2"/>
  <c r="M206" i="2"/>
  <c r="M222" i="2"/>
  <c r="M228" i="2"/>
  <c r="M250" i="2"/>
  <c r="N246" i="2"/>
  <c r="O246" i="2"/>
  <c r="N236" i="2"/>
  <c r="M239" i="2"/>
  <c r="M245" i="2"/>
  <c r="O249" i="2"/>
  <c r="N252" i="2"/>
  <c r="M226" i="2"/>
  <c r="O236" i="2"/>
  <c r="M242" i="2"/>
  <c r="M248" i="2"/>
  <c r="O252" i="2"/>
  <c r="M229" i="2"/>
  <c r="M235" i="2"/>
  <c r="H63" i="1"/>
  <c r="I63" i="1" s="1"/>
  <c r="I29" i="1"/>
  <c r="I24" i="1"/>
  <c r="H26" i="1"/>
  <c r="I26" i="1" s="1"/>
  <c r="H17" i="1"/>
  <c r="H6" i="1"/>
  <c r="G63" i="1"/>
  <c r="G13" i="1"/>
  <c r="H13" i="1" s="1"/>
  <c r="I13" i="1" s="1"/>
  <c r="P235" i="2" l="1"/>
  <c r="O235" i="2"/>
  <c r="N235" i="2"/>
  <c r="O232" i="2"/>
  <c r="N232" i="2"/>
  <c r="P232" i="2"/>
  <c r="P229" i="2"/>
  <c r="O229" i="2"/>
  <c r="N229" i="2"/>
  <c r="O238" i="2"/>
  <c r="N238" i="2"/>
  <c r="P238" i="2"/>
  <c r="N248" i="2"/>
  <c r="P248" i="2"/>
  <c r="O248" i="2"/>
  <c r="Q151" i="2"/>
  <c r="N242" i="2"/>
  <c r="P242" i="2"/>
  <c r="O242" i="2"/>
  <c r="P250" i="2"/>
  <c r="O250" i="2"/>
  <c r="N250" i="2"/>
  <c r="Q241" i="2"/>
  <c r="Q47" i="2"/>
  <c r="O245" i="2"/>
  <c r="N245" i="2"/>
  <c r="P245" i="2"/>
  <c r="Q186" i="2"/>
  <c r="Q92" i="2"/>
  <c r="O239" i="2"/>
  <c r="Q239" i="2" s="1"/>
  <c r="N239" i="2"/>
  <c r="P239" i="2"/>
  <c r="P228" i="2"/>
  <c r="O228" i="2"/>
  <c r="N228" i="2"/>
  <c r="N226" i="2"/>
  <c r="P226" i="2"/>
  <c r="O226" i="2"/>
  <c r="Q54" i="2"/>
  <c r="P222" i="2"/>
  <c r="P253" i="2" s="1"/>
  <c r="N222" i="2"/>
  <c r="O222" i="2"/>
  <c r="Q123" i="2"/>
  <c r="P206" i="2"/>
  <c r="O206" i="2"/>
  <c r="Q53" i="2" s="1"/>
  <c r="N206" i="2"/>
  <c r="N253" i="2" s="1"/>
  <c r="Q98" i="2"/>
  <c r="M253" i="2"/>
  <c r="Q139" i="2"/>
  <c r="Q196" i="2"/>
  <c r="Q9" i="2"/>
  <c r="H14" i="1"/>
  <c r="I14" i="1" s="1"/>
  <c r="I6" i="1"/>
  <c r="I17" i="1"/>
  <c r="H21" i="1"/>
  <c r="I21" i="1" s="1"/>
  <c r="G14" i="1"/>
  <c r="Q176" i="2" l="1"/>
  <c r="Q79" i="2"/>
  <c r="Q165" i="2"/>
  <c r="Q154" i="2"/>
  <c r="Q233" i="2"/>
  <c r="Q57" i="2"/>
  <c r="Q62" i="2"/>
  <c r="Q211" i="2"/>
  <c r="Q114" i="2"/>
  <c r="Q52" i="2"/>
  <c r="Q226" i="2"/>
  <c r="Q161" i="2"/>
  <c r="Q220" i="2"/>
  <c r="Q245" i="2"/>
  <c r="Q142" i="2"/>
  <c r="Q77" i="2"/>
  <c r="Q252" i="2"/>
  <c r="Q183" i="2"/>
  <c r="Q20" i="2"/>
  <c r="Q248" i="2"/>
  <c r="Q23" i="2"/>
  <c r="Q177" i="2"/>
  <c r="Q70" i="2"/>
  <c r="Q143" i="2"/>
  <c r="Q32" i="2"/>
  <c r="Q56" i="2"/>
  <c r="Q104" i="2"/>
  <c r="Q71" i="2"/>
  <c r="Q191" i="2"/>
  <c r="Q229" i="2"/>
  <c r="Q141" i="2"/>
  <c r="Q193" i="2"/>
  <c r="Q232" i="2"/>
  <c r="Q36" i="2"/>
  <c r="Q173" i="2"/>
  <c r="Q237" i="2"/>
  <c r="Q43" i="2"/>
  <c r="Q133" i="2"/>
  <c r="Q122" i="2"/>
  <c r="Q223" i="2"/>
  <c r="Q37" i="2"/>
  <c r="Q96" i="2"/>
  <c r="Q35" i="2"/>
  <c r="Q85" i="2"/>
  <c r="Q181" i="2"/>
  <c r="Q17" i="2"/>
  <c r="Q34" i="2"/>
  <c r="Q89" i="2"/>
  <c r="Q58" i="2"/>
  <c r="Q249" i="2"/>
  <c r="Q158" i="2"/>
  <c r="Q166" i="2"/>
  <c r="Q215" i="2"/>
  <c r="Q38" i="2"/>
  <c r="Q225" i="2"/>
  <c r="Q209" i="2"/>
  <c r="Q101" i="2"/>
  <c r="Q26" i="2"/>
  <c r="Q217" i="2"/>
  <c r="Q208" i="2"/>
  <c r="Q205" i="2"/>
  <c r="Q167" i="2"/>
  <c r="Q109" i="2"/>
  <c r="Q221" i="2"/>
  <c r="Q163" i="2"/>
  <c r="Q148" i="2"/>
  <c r="Q68" i="2"/>
  <c r="Q157" i="2"/>
  <c r="Q126" i="2"/>
  <c r="Q235" i="2"/>
  <c r="Q110" i="2"/>
  <c r="Q29" i="2"/>
  <c r="Q82" i="2"/>
  <c r="Q24" i="2"/>
  <c r="Q175" i="2"/>
  <c r="Q170" i="2"/>
  <c r="Q8" i="2"/>
  <c r="Q69" i="2"/>
  <c r="Q147" i="2"/>
  <c r="Q41" i="2"/>
  <c r="Q7" i="2"/>
  <c r="Q149" i="2"/>
  <c r="Q46" i="2"/>
  <c r="Q13" i="2"/>
  <c r="Q134" i="2"/>
  <c r="Q136" i="2"/>
  <c r="Q16" i="2"/>
  <c r="Q159" i="2"/>
  <c r="Q150" i="2"/>
  <c r="Q138" i="2"/>
  <c r="Q61" i="2"/>
  <c r="Q100" i="2"/>
  <c r="Q146" i="2"/>
  <c r="Q203" i="2"/>
  <c r="Q198" i="2"/>
  <c r="Q116" i="2"/>
  <c r="Q25" i="2"/>
  <c r="Q129" i="2"/>
  <c r="Q190" i="2"/>
  <c r="Q14" i="2"/>
  <c r="Q244" i="2"/>
  <c r="Q135" i="2"/>
  <c r="Q10" i="2"/>
  <c r="Q206" i="2"/>
  <c r="Q31" i="2"/>
  <c r="Q247" i="2"/>
  <c r="Q28" i="2"/>
  <c r="Q236" i="2"/>
  <c r="Q174" i="2"/>
  <c r="Q27" i="2"/>
  <c r="Q111" i="2"/>
  <c r="Q145" i="2"/>
  <c r="Q179" i="2"/>
  <c r="Q137" i="2"/>
  <c r="Q250" i="2"/>
  <c r="Q224" i="2"/>
  <c r="Q18" i="2"/>
  <c r="Q140" i="2"/>
  <c r="Q246" i="2"/>
  <c r="Q94" i="2"/>
  <c r="Q22" i="2"/>
  <c r="Q162" i="2"/>
  <c r="Q86" i="2"/>
  <c r="Q66" i="2"/>
  <c r="Q117" i="2"/>
  <c r="Q182" i="2"/>
  <c r="Q39" i="2"/>
  <c r="Q118" i="2"/>
  <c r="Q168" i="2"/>
  <c r="Q125" i="2"/>
  <c r="Q128" i="2"/>
  <c r="Q228" i="2"/>
  <c r="Q234" i="2"/>
  <c r="Q33" i="2"/>
  <c r="Q76" i="2"/>
  <c r="Q200" i="2"/>
  <c r="Q65" i="2"/>
  <c r="Q44" i="2"/>
  <c r="Q64" i="2"/>
  <c r="Q131" i="2"/>
  <c r="Q243" i="2"/>
  <c r="Q194" i="2"/>
  <c r="Q164" i="2"/>
  <c r="Q213" i="2"/>
  <c r="Q132" i="2"/>
  <c r="Q172" i="2"/>
  <c r="Q55" i="2"/>
  <c r="Q184" i="2"/>
  <c r="Q218" i="2"/>
  <c r="Q153" i="2"/>
  <c r="Q78" i="2"/>
  <c r="Q197" i="2"/>
  <c r="Q74" i="2"/>
  <c r="Q107" i="2"/>
  <c r="Q178" i="2"/>
  <c r="Q19" i="2"/>
  <c r="Q192" i="2"/>
  <c r="Q42" i="2"/>
  <c r="Q171" i="2"/>
  <c r="Q189" i="2"/>
  <c r="Q185" i="2"/>
  <c r="Q199" i="2"/>
  <c r="Q102" i="2"/>
  <c r="Q115" i="2"/>
  <c r="Q210" i="2"/>
  <c r="Q108" i="2"/>
  <c r="Q242" i="2"/>
  <c r="Q50" i="2"/>
  <c r="Q204" i="2"/>
  <c r="Q230" i="2"/>
  <c r="Q67" i="2"/>
  <c r="Q95" i="2"/>
  <c r="Q212" i="2"/>
  <c r="Q84" i="2"/>
  <c r="Q152" i="2"/>
  <c r="Q48" i="2"/>
  <c r="Q130" i="2"/>
  <c r="Q63" i="2"/>
  <c r="Q227" i="2"/>
  <c r="Q60" i="2"/>
  <c r="Q75" i="2"/>
  <c r="Q45" i="2"/>
  <c r="Q188" i="2"/>
  <c r="Q120" i="2"/>
  <c r="Q21" i="2"/>
  <c r="Q83" i="2"/>
  <c r="Q40" i="2"/>
  <c r="Q72" i="2"/>
  <c r="Q251" i="2"/>
  <c r="Q127" i="2"/>
  <c r="Q90" i="2"/>
  <c r="Q240" i="2"/>
  <c r="Q93" i="2"/>
  <c r="Q88" i="2"/>
  <c r="Q103" i="2"/>
  <c r="Q112" i="2"/>
  <c r="Q169" i="2"/>
  <c r="Q144" i="2"/>
  <c r="Q106" i="2"/>
  <c r="Q15" i="2"/>
  <c r="Q160" i="2"/>
  <c r="Q202" i="2"/>
  <c r="Q51" i="2"/>
  <c r="Q113" i="2"/>
  <c r="Q91" i="2"/>
  <c r="Q59" i="2"/>
  <c r="O253" i="2"/>
  <c r="O254" i="2" s="1"/>
  <c r="Q87" i="2"/>
  <c r="Q156" i="2"/>
  <c r="Q49" i="2"/>
  <c r="Q121" i="2"/>
  <c r="Q97" i="2"/>
  <c r="Q30" i="2"/>
  <c r="Q124" i="2"/>
  <c r="Q222" i="2"/>
  <c r="Q73" i="2"/>
  <c r="Q180" i="2"/>
  <c r="Q231" i="2"/>
  <c r="Q105" i="2"/>
  <c r="Q11" i="2"/>
  <c r="Q195" i="2"/>
  <c r="Q187" i="2"/>
  <c r="Q201" i="2"/>
  <c r="Q80" i="2"/>
  <c r="Q238" i="2"/>
  <c r="Q216" i="2"/>
  <c r="Q99" i="2"/>
  <c r="Q81" i="2"/>
  <c r="Q214" i="2"/>
  <c r="Q119" i="2"/>
  <c r="Q207" i="2"/>
  <c r="Q12" i="2"/>
  <c r="Q155" i="2"/>
  <c r="Q219" i="2"/>
</calcChain>
</file>

<file path=xl/sharedStrings.xml><?xml version="1.0" encoding="utf-8"?>
<sst xmlns="http://schemas.openxmlformats.org/spreadsheetml/2006/main" count="507" uniqueCount="308">
  <si>
    <t>Presupuesto de cuota de mantenimiento mensual -   Lomas Residencial</t>
  </si>
  <si>
    <t>PERSONAL</t>
  </si>
  <si>
    <t>Área / Sistema</t>
  </si>
  <si>
    <t>Cant.</t>
  </si>
  <si>
    <t>Soles Uni</t>
  </si>
  <si>
    <t>Veces año</t>
  </si>
  <si>
    <t>Soles / Mes</t>
  </si>
  <si>
    <t>Impacto mensual aprox por propietario</t>
  </si>
  <si>
    <t>Impacto anual aprox por propietario</t>
  </si>
  <si>
    <t xml:space="preserve">Personal de Portería Diurno </t>
  </si>
  <si>
    <t>Mensual</t>
  </si>
  <si>
    <t>AACC</t>
  </si>
  <si>
    <t>Personal de Portería Nocturno</t>
  </si>
  <si>
    <t>Personal de Portería  - Descansero</t>
  </si>
  <si>
    <t xml:space="preserve">Personal de Limpieza </t>
  </si>
  <si>
    <t>Personal de Limpieza Medio Turno</t>
  </si>
  <si>
    <t>Administrador Residente</t>
  </si>
  <si>
    <t xml:space="preserve">Utilidad empresa administradora </t>
  </si>
  <si>
    <t>IGV</t>
  </si>
  <si>
    <t xml:space="preserve">VARIOS </t>
  </si>
  <si>
    <t>Mantenimiento areas verdes</t>
  </si>
  <si>
    <t>Utiles de oficina</t>
  </si>
  <si>
    <t>Fumigación y Desratización  (AACC Acopios)</t>
  </si>
  <si>
    <t>Semestral</t>
  </si>
  <si>
    <t>Material de Limpieza ( incluido salones de reuniones)</t>
  </si>
  <si>
    <t xml:space="preserve">FONDO DE CONTINGENCIA + COSTOS BANCARIOS  </t>
  </si>
  <si>
    <t>Fondo de Contingencias</t>
  </si>
  <si>
    <t>Costos bancarios</t>
  </si>
  <si>
    <t>MANTENIMIENTOS (Costos aproximados)</t>
  </si>
  <si>
    <t>Ascensores Edificios</t>
  </si>
  <si>
    <t xml:space="preserve">Bombas Contra Incendio - Jockey y Tablero </t>
  </si>
  <si>
    <t xml:space="preserve">Limpieza de Cisterna Contra Incendio </t>
  </si>
  <si>
    <t xml:space="preserve">Anual </t>
  </si>
  <si>
    <t>DACI Edificio / Areas comunes (01tablero, 297 detectores, luz estroboscopica)</t>
  </si>
  <si>
    <t>Bombas de Presión Constante - Tablero</t>
  </si>
  <si>
    <t xml:space="preserve">Limpieza de Cisterna Agua Potable </t>
  </si>
  <si>
    <t>Bombas de Sumideros, Tablero y Pozo (02 bombas)</t>
  </si>
  <si>
    <t>Sistema de Ventilación y Tablero ( Cuarto de bombas)</t>
  </si>
  <si>
    <t>Mantenimiento de montantes y gabinetes ACI</t>
  </si>
  <si>
    <t>Mantenimiento de montantes de consumo domestico</t>
  </si>
  <si>
    <t>Pozo a Tierra  edificio</t>
  </si>
  <si>
    <t xml:space="preserve">Tableros eléctricos / Tablero de transferencia </t>
  </si>
  <si>
    <t>Grupo Electrógeno - Combustible</t>
  </si>
  <si>
    <t xml:space="preserve">Intercomunicadores </t>
  </si>
  <si>
    <t>Contometros de agua edificio y torre</t>
  </si>
  <si>
    <t>Luces de emergencia</t>
  </si>
  <si>
    <t>Sensores de movimiento</t>
  </si>
  <si>
    <t>Anual</t>
  </si>
  <si>
    <t>Recarga de Extintores Edificios</t>
  </si>
  <si>
    <t>Extraccion de monoxido (06 jet fan+ tablero)</t>
  </si>
  <si>
    <t>Buzones de desague</t>
  </si>
  <si>
    <t>Trimestral</t>
  </si>
  <si>
    <t>sumideros de techo</t>
  </si>
  <si>
    <t xml:space="preserve">Mantenimiento de CCTV Areas Comunes </t>
  </si>
  <si>
    <t>Puerta vehicular/ Tranquera ( sotano)</t>
  </si>
  <si>
    <t>Puerta batiente ( areas comunes)</t>
  </si>
  <si>
    <t xml:space="preserve">Puertas cortafuego Edificios </t>
  </si>
  <si>
    <t>Ventilación y extracción en escaleras - Tableros de mando Edificio</t>
  </si>
  <si>
    <t>Mobiliario de madera ( sol y sombra)</t>
  </si>
  <si>
    <t>Mantenimiento de SUM ( pintado paredes)</t>
  </si>
  <si>
    <t>Mantenimiento de Coworking (pintado paredes)</t>
  </si>
  <si>
    <t>Mantenimiento de sala de Karaoke (pintado paredes)</t>
  </si>
  <si>
    <t>Mantenimiento de sala de Sky Bar  (pintado paredes)</t>
  </si>
  <si>
    <t>Mantenimientto de parrillas ( parrilla y mobiliario)</t>
  </si>
  <si>
    <t xml:space="preserve">Mantenimiento area de administracion ( pintado oficina, SSHH, Comedor) </t>
  </si>
  <si>
    <t>Mantenimiento de fisuras</t>
  </si>
  <si>
    <t>C.C. ALAMEDA DEL RIMAC</t>
  </si>
  <si>
    <t>TOTAL</t>
  </si>
  <si>
    <t>B. ESTAC</t>
  </si>
  <si>
    <t>M COM</t>
  </si>
  <si>
    <t>DEPO</t>
  </si>
  <si>
    <t>COMERCIO</t>
  </si>
  <si>
    <t>DPTO</t>
  </si>
  <si>
    <t>PORCENTAJE AO - VIVIENDAS</t>
  </si>
  <si>
    <t>Nº</t>
  </si>
  <si>
    <t>SEMISÓTANO</t>
  </si>
  <si>
    <t>SECTOR VIVIENDA</t>
  </si>
  <si>
    <t>A.O</t>
  </si>
  <si>
    <t>A.T</t>
  </si>
  <si>
    <t>%</t>
  </si>
  <si>
    <t>ESTACIONAMIENTO N° 01</t>
  </si>
  <si>
    <t>ESTACIONAMIENTO N° 02</t>
  </si>
  <si>
    <t>ESTACIONAMIENTO N° 03</t>
  </si>
  <si>
    <t>ESTACIONAMIENTO N° 04</t>
  </si>
  <si>
    <t>ESTACIONAMIENTO N° 05</t>
  </si>
  <si>
    <t>ESTACIONAMIENTO N° 06</t>
  </si>
  <si>
    <t>ESTACIONAMIENTO N° 07</t>
  </si>
  <si>
    <t>ESTACIONAMIENTO N° 08</t>
  </si>
  <si>
    <t>ESTACIONAMIENTO N° 09</t>
  </si>
  <si>
    <t>ESTACIONAMIENTO N° 10</t>
  </si>
  <si>
    <t>ESTACIONAMIENTO N° 11</t>
  </si>
  <si>
    <t>ESTACIONAMIENTO N° 12</t>
  </si>
  <si>
    <t>ESTACIONAMIENTO N° 13</t>
  </si>
  <si>
    <t>ESTACIONAMIENTO N° 14</t>
  </si>
  <si>
    <t>ESTACIONAMIENTO N° 15</t>
  </si>
  <si>
    <t>ESTACIONAMIENTO DOBLE N° 16 A-B</t>
  </si>
  <si>
    <t>ESTACIONAMIENTO N° 17</t>
  </si>
  <si>
    <t>ESTACIONAMIENTO N° 18</t>
  </si>
  <si>
    <t>ESTACIONAMIENTO N° 19</t>
  </si>
  <si>
    <t>ESTACIONAMIENTO N° 20</t>
  </si>
  <si>
    <t>ESTACIONAMIENTO N° 21</t>
  </si>
  <si>
    <t>ESTACIONAMIENTO N° 22</t>
  </si>
  <si>
    <t>ESTACIONAMIENTO N° 23</t>
  </si>
  <si>
    <t>ESTACIONAMIENTO N° 24</t>
  </si>
  <si>
    <t>ESTACIONAMIENTO N° 25</t>
  </si>
  <si>
    <t>ESTACIONAMIENTO N° 26</t>
  </si>
  <si>
    <t>ESTACIONAMIENTO N° 27</t>
  </si>
  <si>
    <t>ESTACIONAMIENTO N° 28</t>
  </si>
  <si>
    <t>ESTACIONAMIENTO N° 29</t>
  </si>
  <si>
    <t>ESTACIONAMIENTO N° 30</t>
  </si>
  <si>
    <t>ESTACIONAMIENTO N° 31</t>
  </si>
  <si>
    <t>ESTACIONAMIENTO N° 32</t>
  </si>
  <si>
    <t>ESTACIONAMIENTO N° 33</t>
  </si>
  <si>
    <t>ESTACIONAMIENTO N° 34</t>
  </si>
  <si>
    <t>ESTACIONAMIENTO N° 35</t>
  </si>
  <si>
    <t>ESTACIONAMIENTO N° 36</t>
  </si>
  <si>
    <t>ESTACIONAMIENTO N° 37</t>
  </si>
  <si>
    <t>ESTACIONAMIENTO N° 38</t>
  </si>
  <si>
    <t>ESTACIONAMIENTO N° 39</t>
  </si>
  <si>
    <t>ESTACIONAMIENTO N° 40</t>
  </si>
  <si>
    <t>ESTACIONAMIENTO N° 41</t>
  </si>
  <si>
    <t>ESTACIONAMIENTO N° 42</t>
  </si>
  <si>
    <t>ESTACIONAMIENTO N° 43</t>
  </si>
  <si>
    <t>ESTACIONAMIENTO N° 44</t>
  </si>
  <si>
    <t>ESTACIONAMIENTO N° 45</t>
  </si>
  <si>
    <t>ESTACIONAMIENTO N° 46</t>
  </si>
  <si>
    <t>ESTACIONAMIENTO N° 47</t>
  </si>
  <si>
    <t>ESTACIONAMIENTO N° 48</t>
  </si>
  <si>
    <t>ESTACIONAMIENTO N° 49</t>
  </si>
  <si>
    <t>ESTACIONAMIENTO N° 50</t>
  </si>
  <si>
    <t>ESTACIONAMIENTO N° 51</t>
  </si>
  <si>
    <t>ESTACIONAMIENTO N° 52</t>
  </si>
  <si>
    <t>ESTACIONAMIENTO N° 53</t>
  </si>
  <si>
    <t>ESTACIONAMIENTO N° 54</t>
  </si>
  <si>
    <t>ESTACIONAMIENTO N° 55</t>
  </si>
  <si>
    <t>ESTACIONAMIENTO N° 56</t>
  </si>
  <si>
    <t>ESTACIONAMIENTO N° 57</t>
  </si>
  <si>
    <t>ESTACIONAMIENTO N° 58</t>
  </si>
  <si>
    <t>ESTACIONAMIENTO N° 59</t>
  </si>
  <si>
    <t>ESTACIONAMIENTO N° 60</t>
  </si>
  <si>
    <t>ESTACIONAMIENTO N° 61</t>
  </si>
  <si>
    <t>DEPÓSITO N° 01</t>
  </si>
  <si>
    <t>DEPÓSITO N° 02</t>
  </si>
  <si>
    <t>DEPÓSITO N° 03</t>
  </si>
  <si>
    <t>DEPÓSITO N° 04</t>
  </si>
  <si>
    <t>DEPÓSITO N° 05</t>
  </si>
  <si>
    <t>PISO 3</t>
  </si>
  <si>
    <t>DEPARTAMENTO N° 301</t>
  </si>
  <si>
    <t>DEPARTAMENTO N° 302</t>
  </si>
  <si>
    <t>DEPARTAMENTO N° 303</t>
  </si>
  <si>
    <t>DEPARTAMENTO N° 304</t>
  </si>
  <si>
    <t>DEPARTAMENTO N° 305</t>
  </si>
  <si>
    <t>DEPARTAMENTO N° 306</t>
  </si>
  <si>
    <t>DEPARTAMENTO N° 307</t>
  </si>
  <si>
    <t>DEPARTAMENTO N° 308</t>
  </si>
  <si>
    <t>PISO 4</t>
  </si>
  <si>
    <t>DEPARTAMENTO N° 401</t>
  </si>
  <si>
    <t>DEPARTAMENTO N° 402</t>
  </si>
  <si>
    <t>DEPARTAMENTO N° 403</t>
  </si>
  <si>
    <t>DEPARTAMENTO N° 404</t>
  </si>
  <si>
    <t>DEPARTAMENTO N° 405</t>
  </si>
  <si>
    <t>DEPARTAMENTO N° 406</t>
  </si>
  <si>
    <t>DEPARTAMENTO N° 407</t>
  </si>
  <si>
    <t>DEPARTAMENTO N° 408</t>
  </si>
  <si>
    <t>PISO 5</t>
  </si>
  <si>
    <t>DEPARTAMENTO N° 501</t>
  </si>
  <si>
    <t>DEPARTAMENTO N° 502</t>
  </si>
  <si>
    <t>DEPARTAMENTO N° 503</t>
  </si>
  <si>
    <t>DEPARTAMENTO N° 504</t>
  </si>
  <si>
    <t>DEPARTAMENTO N° 505</t>
  </si>
  <si>
    <t>DEPARTAMENTO N° 506</t>
  </si>
  <si>
    <t>DEPARTAMENTO N° 507</t>
  </si>
  <si>
    <t>DEPARTAMENTO N° 508</t>
  </si>
  <si>
    <t>PISO 6</t>
  </si>
  <si>
    <t>DEPARTAMENTO N° 601</t>
  </si>
  <si>
    <t>DEPARTAMENTO N° 602</t>
  </si>
  <si>
    <t>DEPARTAMENTO N° 603</t>
  </si>
  <si>
    <t>DEPARTAMENTO N° 604</t>
  </si>
  <si>
    <t>DEPARTAMENTO N° 605</t>
  </si>
  <si>
    <t>DEPARTAMENTO N° 606</t>
  </si>
  <si>
    <t>DEPARTAMENTO N° 607</t>
  </si>
  <si>
    <t>DEPARTAMENTO N° 608</t>
  </si>
  <si>
    <t>PISO 7</t>
  </si>
  <si>
    <t>DEPARTAMENTO N° 701</t>
  </si>
  <si>
    <t>DEPARTAMENTO N° 702</t>
  </si>
  <si>
    <t>DEPARTAMENTO N° 703</t>
  </si>
  <si>
    <t>DEPARTAMENTO N° 704</t>
  </si>
  <si>
    <t>DEPARTAMENTO N° 705</t>
  </si>
  <si>
    <t>DEPARTAMENTO N° 706</t>
  </si>
  <si>
    <t>DEPARTAMENTO N° 707</t>
  </si>
  <si>
    <t>DEPARTAMENTO N° 708</t>
  </si>
  <si>
    <t>PISO 8</t>
  </si>
  <si>
    <t>DEPARTAMENTO N° 801</t>
  </si>
  <si>
    <t>DEPARTAMENTO N° 802</t>
  </si>
  <si>
    <t>DEPARTAMENTO N° 803</t>
  </si>
  <si>
    <t>DEPARTAMENTO N° 804</t>
  </si>
  <si>
    <t>DEPARTAMENTO N° 805</t>
  </si>
  <si>
    <t>DEPARTAMENTO N° 806</t>
  </si>
  <si>
    <t>DEPARTAMENTO N° 807</t>
  </si>
  <si>
    <t>DEPARTAMENTO N° 808</t>
  </si>
  <si>
    <t>PISO 9</t>
  </si>
  <si>
    <t>DEPARTAMENTO N° 901</t>
  </si>
  <si>
    <t>DEPARTAMENTO N° 902</t>
  </si>
  <si>
    <t>DEPARTAMENTO N° 903</t>
  </si>
  <si>
    <t>DEPARTAMENTO N° 904</t>
  </si>
  <si>
    <t>DEPARTAMENTO N° 905</t>
  </si>
  <si>
    <t>DEPARTAMENTO N° 906</t>
  </si>
  <si>
    <t>DEPARTAMENTO N° 907</t>
  </si>
  <si>
    <t>DEPARTAMENTO N° 908</t>
  </si>
  <si>
    <t>PISO 10</t>
  </si>
  <si>
    <t>DEPARTAMENTO N° 1001</t>
  </si>
  <si>
    <t>DEPARTAMENTO N° 1002</t>
  </si>
  <si>
    <t>DEPARTAMENTO N° 1003</t>
  </si>
  <si>
    <t>DEPARTAMENTO N° 1004</t>
  </si>
  <si>
    <t>DEPARTAMENTO N° 1005</t>
  </si>
  <si>
    <t>DEPARTAMENTO N° 1006</t>
  </si>
  <si>
    <t>DEPARTAMENTO N° 1007</t>
  </si>
  <si>
    <t>DEPARTAMENTO N° 1008</t>
  </si>
  <si>
    <t>PISO 11</t>
  </si>
  <si>
    <t>DEPARTAMENTO N° 1101</t>
  </si>
  <si>
    <t>DEPARTAMENTO N° 1102</t>
  </si>
  <si>
    <t>DEPARTAMENTO N° 1103</t>
  </si>
  <si>
    <t>DEPARTAMENTO N° 1104</t>
  </si>
  <si>
    <t>DEPARTAMENTO N° 1105</t>
  </si>
  <si>
    <t>DEPARTAMENTO N° 1106</t>
  </si>
  <si>
    <t>DEPARTAMENTO N° 1107</t>
  </si>
  <si>
    <t>DEPARTAMENTO N° 1108</t>
  </si>
  <si>
    <t>PISO 12</t>
  </si>
  <si>
    <t>DEPARTAMENTO N° 1201</t>
  </si>
  <si>
    <t>DEPARTAMENTO N° 1202</t>
  </si>
  <si>
    <t>DEPARTAMENTO N° 1203</t>
  </si>
  <si>
    <t>DEPARTAMENTO N° 1204</t>
  </si>
  <si>
    <t>DEPARTAMENTO N° 1205</t>
  </si>
  <si>
    <t>DEPARTAMENTO N° 1206</t>
  </si>
  <si>
    <t>DEPARTAMENTO N° 1207</t>
  </si>
  <si>
    <t>DEPARTAMENTO N° 1208</t>
  </si>
  <si>
    <t>PISO 13</t>
  </si>
  <si>
    <t>DEPARTAMENTO N° 1301</t>
  </si>
  <si>
    <t>DEPARTAMENTO N° 1302</t>
  </si>
  <si>
    <t>DEPARTAMENTO N° 1303</t>
  </si>
  <si>
    <t>DEPARTAMENTO N° 1304</t>
  </si>
  <si>
    <t>DEPARTAMENTO N° 1305</t>
  </si>
  <si>
    <t>DEPARTAMENTO N° 1306</t>
  </si>
  <si>
    <t>DEPARTAMENTO N° 1307</t>
  </si>
  <si>
    <t>DEPARTAMENTO N° 1308</t>
  </si>
  <si>
    <t>PISO 14</t>
  </si>
  <si>
    <t>DEPARTAMENTO N° 1401</t>
  </si>
  <si>
    <t>DEPARTAMENTO N° 1402</t>
  </si>
  <si>
    <t>DEPARTAMENTO N° 1403</t>
  </si>
  <si>
    <t>DEPARTAMENTO N° 1404</t>
  </si>
  <si>
    <t>DEPARTAMENTO N° 1405</t>
  </si>
  <si>
    <t>DEPARTAMENTO N° 1406</t>
  </si>
  <si>
    <t>DEPARTAMENTO N° 1407</t>
  </si>
  <si>
    <t>DEPARTAMENTO N° 1408</t>
  </si>
  <si>
    <t>PISO 15</t>
  </si>
  <si>
    <t>DEPARTAMENTO N° 1501</t>
  </si>
  <si>
    <t>DEPARTAMENTO N° 1502</t>
  </si>
  <si>
    <t>DEPARTAMENTO N° 1503</t>
  </si>
  <si>
    <t>DEPARTAMENTO N° 1504</t>
  </si>
  <si>
    <t>DEPARTAMENTO N° 1505</t>
  </si>
  <si>
    <t>DEPARTAMENTO N° 1506</t>
  </si>
  <si>
    <t>DEPARTAMENTO N° 1507</t>
  </si>
  <si>
    <t>DEPARTAMENTO N° 1508</t>
  </si>
  <si>
    <t>PISO 16</t>
  </si>
  <si>
    <t>DEPARTAMENTO N° 1601</t>
  </si>
  <si>
    <t>DEPARTAMENTO N° 1602</t>
  </si>
  <si>
    <t>DEPARTAMENTO N° 1603</t>
  </si>
  <si>
    <t>DEPARTAMENTO N° 1604</t>
  </si>
  <si>
    <t>DEPARTAMENTO N° 1605</t>
  </si>
  <si>
    <t>DEPARTAMENTO N° 1606</t>
  </si>
  <si>
    <t>DEPARTAMENTO N° 1607</t>
  </si>
  <si>
    <t>DEPARTAMENTO N° 1608</t>
  </si>
  <si>
    <t>PISO 17</t>
  </si>
  <si>
    <t>DEPARTAMENTO N° 1701</t>
  </si>
  <si>
    <t>DEPARTAMENTO N° 1702</t>
  </si>
  <si>
    <t>DEPARTAMENTO N° 1703</t>
  </si>
  <si>
    <t>DEPARTAMENTO N° 1704</t>
  </si>
  <si>
    <t>DEPARTAMENTO N° 1705</t>
  </si>
  <si>
    <t>DEPARTAMENTO N° 1706</t>
  </si>
  <si>
    <t>DEPARTAMENTO N° 1707</t>
  </si>
  <si>
    <t>DEPARTAMENTO N° 1708</t>
  </si>
  <si>
    <t>PISO 18</t>
  </si>
  <si>
    <t>DEPARTAMENTO N° 1801</t>
  </si>
  <si>
    <t>DEPARTAMENTO N° 1802</t>
  </si>
  <si>
    <t>DEPARTAMENTO N° 1803</t>
  </si>
  <si>
    <t>DEPARTAMENTO N° 1804</t>
  </si>
  <si>
    <t>DEPARTAMENTO N° 1805</t>
  </si>
  <si>
    <t>DEPARTAMENTO N° 1806</t>
  </si>
  <si>
    <t>DEPARTAMENTO N° 1807</t>
  </si>
  <si>
    <t>DEPARTAMENTO N° 1808</t>
  </si>
  <si>
    <t>PISO 19</t>
  </si>
  <si>
    <t>DEPARTAMENTO N° 1901</t>
  </si>
  <si>
    <t>DEPARTAMENTO N° 1902</t>
  </si>
  <si>
    <t>DEPARTAMENTO N° 1903</t>
  </si>
  <si>
    <t>DEPARTAMENTO N° 1904</t>
  </si>
  <si>
    <t>DEPARTAMENTO N° 1905</t>
  </si>
  <si>
    <t>DEPARTAMENTO N° 1906</t>
  </si>
  <si>
    <t>DEPARTAMENTO N° 1907</t>
  </si>
  <si>
    <t>DEPARTAMENTO N° 1908</t>
  </si>
  <si>
    <t>PISO 20</t>
  </si>
  <si>
    <t>DEPARTAMENTO N° 2001</t>
  </si>
  <si>
    <t>DEPARTAMENTO N° 2002</t>
  </si>
  <si>
    <t>DEPARTAMENTO N° 2003</t>
  </si>
  <si>
    <t>DEPARTAMENTO N° 2004</t>
  </si>
  <si>
    <t>DEPARTAMENTO N° 2005</t>
  </si>
  <si>
    <t>DEPARTAMENTO N° 2006</t>
  </si>
  <si>
    <t>DEPARTAMENTO N° 2007</t>
  </si>
  <si>
    <t>DEPARTAMENTO N°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</si>
</sst>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S/&quot;\ #,##0.00;[Red]\-&quot;S/&quot;\ #,##0.00"/>
    <numFmt numFmtId="43" formatCode="_-* #,##0.00_-;\-* #,##0.00_-;_-* &quot;-&quot;??_-;_-@_-"/>
    <numFmt numFmtId="164" formatCode="_ &quot;S/.&quot;\ * #,##0.0_ ;_ &quot;S/.&quot;\ * \-#,##0.0_ ;_ &quot;S/.&quot;\ * &quot;-&quot;??_ ;_ @_ "/>
    <numFmt numFmtId="165" formatCode="#,##0.0000"/>
    <numFmt numFmtId="166" formatCode="#,##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0"/>
      <name val="Calibri"/>
      <family val="2"/>
    </font>
    <font>
      <b/>
      <sz val="8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 tint="0.249977111117893"/>
      <name val="Calibri"/>
      <family val="2"/>
    </font>
    <font>
      <b/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9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6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BFA2E"/>
        <bgColor rgb="FFBBFA2E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0" fontId="12" fillId="0" borderId="0"/>
  </cellStyleXfs>
  <cellXfs count="6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43" fontId="6" fillId="0" borderId="1" xfId="1" applyFont="1" applyFill="1" applyBorder="1" applyAlignment="1">
      <alignment horizontal="left"/>
    </xf>
    <xf numFmtId="8" fontId="0" fillId="0" borderId="0" xfId="0" applyNumberFormat="1"/>
    <xf numFmtId="8" fontId="5" fillId="0" borderId="0" xfId="0" applyNumberFormat="1" applyFont="1"/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164" fontId="8" fillId="4" borderId="0" xfId="0" applyNumberFormat="1" applyFont="1" applyFill="1" applyAlignment="1">
      <alignment vertical="center" wrapText="1"/>
    </xf>
    <xf numFmtId="43" fontId="0" fillId="0" borderId="0" xfId="0" applyNumberFormat="1"/>
    <xf numFmtId="43" fontId="6" fillId="5" borderId="1" xfId="1" applyFont="1" applyFill="1" applyBorder="1" applyAlignment="1">
      <alignment horizontal="left"/>
    </xf>
    <xf numFmtId="43" fontId="6" fillId="6" borderId="1" xfId="1" applyFont="1" applyFill="1" applyBorder="1" applyAlignment="1">
      <alignment horizontal="left"/>
    </xf>
    <xf numFmtId="43" fontId="6" fillId="7" borderId="1" xfId="1" applyFont="1" applyFill="1" applyBorder="1" applyAlignment="1">
      <alignment horizontal="left"/>
    </xf>
    <xf numFmtId="0" fontId="9" fillId="0" borderId="0" xfId="0" applyFont="1"/>
    <xf numFmtId="43" fontId="10" fillId="0" borderId="1" xfId="1" applyFont="1" applyFill="1" applyBorder="1" applyAlignment="1">
      <alignment horizontal="left"/>
    </xf>
    <xf numFmtId="43" fontId="10" fillId="5" borderId="1" xfId="1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11" fillId="0" borderId="0" xfId="0" applyFont="1"/>
    <xf numFmtId="3" fontId="13" fillId="0" borderId="0" xfId="2" applyNumberFormat="1" applyFont="1" applyAlignment="1">
      <alignment horizontal="center" vertical="center"/>
    </xf>
    <xf numFmtId="3" fontId="14" fillId="0" borderId="0" xfId="2" applyNumberFormat="1" applyFont="1" applyAlignment="1">
      <alignment horizontal="center" vertical="center"/>
    </xf>
    <xf numFmtId="0" fontId="15" fillId="8" borderId="3" xfId="3" applyFont="1" applyFill="1" applyBorder="1" applyAlignment="1">
      <alignment horizontal="center" vertical="center" wrapText="1"/>
    </xf>
    <xf numFmtId="0" fontId="12" fillId="0" borderId="0" xfId="2" applyAlignment="1">
      <alignment vertical="center"/>
    </xf>
    <xf numFmtId="165" fontId="16" fillId="0" borderId="0" xfId="0" applyNumberFormat="1" applyFont="1" applyAlignment="1">
      <alignment vertical="center"/>
    </xf>
    <xf numFmtId="166" fontId="16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3" fontId="13" fillId="0" borderId="0" xfId="2" applyNumberFormat="1" applyFont="1" applyAlignment="1">
      <alignment horizontal="center" vertical="center" wrapText="1"/>
    </xf>
    <xf numFmtId="3" fontId="17" fillId="0" borderId="0" xfId="2" applyNumberFormat="1" applyFont="1" applyAlignment="1">
      <alignment horizontal="center" vertical="center" wrapText="1"/>
    </xf>
    <xf numFmtId="0" fontId="18" fillId="8" borderId="4" xfId="3" applyFont="1" applyFill="1" applyBorder="1" applyAlignment="1">
      <alignment horizontal="center" vertical="center"/>
    </xf>
    <xf numFmtId="0" fontId="18" fillId="8" borderId="5" xfId="3" applyFont="1" applyFill="1" applyBorder="1" applyAlignment="1">
      <alignment horizontal="center" vertical="center"/>
    </xf>
    <xf numFmtId="0" fontId="18" fillId="8" borderId="6" xfId="3" applyFont="1" applyFill="1" applyBorder="1" applyAlignment="1">
      <alignment horizontal="center" vertical="center"/>
    </xf>
    <xf numFmtId="0" fontId="12" fillId="0" borderId="0" xfId="3" applyAlignment="1">
      <alignment horizontal="center" vertical="center"/>
    </xf>
    <xf numFmtId="0" fontId="13" fillId="0" borderId="0" xfId="3" applyFont="1" applyAlignment="1">
      <alignment horizontal="center" vertical="center"/>
    </xf>
    <xf numFmtId="4" fontId="13" fillId="0" borderId="0" xfId="3" applyNumberFormat="1" applyFont="1" applyAlignment="1">
      <alignment horizontal="center" vertical="center"/>
    </xf>
    <xf numFmtId="166" fontId="12" fillId="0" borderId="0" xfId="3" applyNumberFormat="1" applyAlignment="1">
      <alignment horizontal="center" vertical="center" wrapText="1"/>
    </xf>
    <xf numFmtId="0" fontId="12" fillId="0" borderId="0" xfId="3" applyAlignment="1">
      <alignment vertical="center"/>
    </xf>
    <xf numFmtId="0" fontId="12" fillId="0" borderId="0" xfId="2" applyAlignment="1">
      <alignment horizontal="center" vertical="center"/>
    </xf>
    <xf numFmtId="0" fontId="13" fillId="9" borderId="3" xfId="3" applyFont="1" applyFill="1" applyBorder="1" applyAlignment="1">
      <alignment horizontal="center" vertical="center"/>
    </xf>
    <xf numFmtId="4" fontId="13" fillId="9" borderId="6" xfId="3" applyNumberFormat="1" applyFont="1" applyFill="1" applyBorder="1" applyAlignment="1">
      <alignment horizontal="center" vertical="center"/>
    </xf>
    <xf numFmtId="4" fontId="13" fillId="9" borderId="3" xfId="3" applyNumberFormat="1" applyFont="1" applyFill="1" applyBorder="1" applyAlignment="1">
      <alignment horizontal="center" vertical="center"/>
    </xf>
    <xf numFmtId="166" fontId="13" fillId="9" borderId="3" xfId="3" applyNumberFormat="1" applyFont="1" applyFill="1" applyBorder="1" applyAlignment="1">
      <alignment horizontal="center" vertical="center" wrapText="1"/>
    </xf>
    <xf numFmtId="0" fontId="13" fillId="7" borderId="4" xfId="3" applyFont="1" applyFill="1" applyBorder="1" applyAlignment="1">
      <alignment horizontal="center" vertical="center"/>
    </xf>
    <xf numFmtId="0" fontId="13" fillId="7" borderId="3" xfId="3" applyFont="1" applyFill="1" applyBorder="1" applyAlignment="1">
      <alignment horizontal="center" vertical="center"/>
    </xf>
    <xf numFmtId="166" fontId="13" fillId="7" borderId="3" xfId="3" applyNumberFormat="1" applyFont="1" applyFill="1" applyBorder="1" applyAlignment="1">
      <alignment horizontal="center" vertical="center" wrapText="1"/>
    </xf>
    <xf numFmtId="0" fontId="12" fillId="0" borderId="3" xfId="3" applyBorder="1" applyAlignment="1">
      <alignment horizontal="center" vertical="center"/>
    </xf>
    <xf numFmtId="0" fontId="12" fillId="0" borderId="3" xfId="3" applyBorder="1" applyAlignment="1">
      <alignment horizontal="left" vertical="center"/>
    </xf>
    <xf numFmtId="4" fontId="16" fillId="0" borderId="3" xfId="0" applyNumberFormat="1" applyFont="1" applyBorder="1" applyAlignment="1">
      <alignment horizontal="center" vertical="center"/>
    </xf>
    <xf numFmtId="166" fontId="12" fillId="0" borderId="3" xfId="3" applyNumberFormat="1" applyBorder="1" applyAlignment="1">
      <alignment horizontal="center" vertical="center" wrapText="1"/>
    </xf>
    <xf numFmtId="166" fontId="16" fillId="10" borderId="0" xfId="0" applyNumberFormat="1" applyFont="1" applyFill="1" applyAlignment="1">
      <alignment vertical="center"/>
    </xf>
    <xf numFmtId="0" fontId="19" fillId="0" borderId="0" xfId="0" applyFont="1" applyAlignment="1">
      <alignment vertical="center"/>
    </xf>
    <xf numFmtId="0" fontId="13" fillId="9" borderId="4" xfId="3" applyFont="1" applyFill="1" applyBorder="1" applyAlignment="1">
      <alignment horizontal="center" vertical="center"/>
    </xf>
    <xf numFmtId="4" fontId="13" fillId="9" borderId="4" xfId="3" applyNumberFormat="1" applyFont="1" applyFill="1" applyBorder="1" applyAlignment="1">
      <alignment horizontal="center" vertical="center"/>
    </xf>
    <xf numFmtId="4" fontId="13" fillId="9" borderId="5" xfId="3" applyNumberFormat="1" applyFont="1" applyFill="1" applyBorder="1" applyAlignment="1">
      <alignment horizontal="center" vertical="center"/>
    </xf>
    <xf numFmtId="0" fontId="13" fillId="11" borderId="7" xfId="3" applyFont="1" applyFill="1" applyBorder="1" applyAlignment="1">
      <alignment horizontal="left" vertical="center"/>
    </xf>
    <xf numFmtId="4" fontId="13" fillId="11" borderId="3" xfId="3" applyNumberFormat="1" applyFont="1" applyFill="1" applyBorder="1" applyAlignment="1">
      <alignment horizontal="center" vertical="center"/>
    </xf>
    <xf numFmtId="166" fontId="13" fillId="11" borderId="3" xfId="3" applyNumberFormat="1" applyFont="1" applyFill="1" applyBorder="1" applyAlignment="1">
      <alignment horizontal="center" vertical="center"/>
    </xf>
    <xf numFmtId="165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166" fontId="21" fillId="0" borderId="0" xfId="0" applyNumberFormat="1" applyFont="1" applyAlignment="1">
      <alignment vertical="center" wrapText="1"/>
    </xf>
    <xf numFmtId="165" fontId="21" fillId="0" borderId="0" xfId="0" applyNumberFormat="1" applyFont="1" applyAlignment="1">
      <alignment vertical="center"/>
    </xf>
    <xf numFmtId="166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/>
    </xf>
  </cellXfs>
  <cellStyles count="4">
    <cellStyle name="Millares" xfId="1" builtinId="3"/>
    <cellStyle name="Normal" xfId="0" builtinId="0"/>
    <cellStyle name="Normal 2" xfId="3" xr:uid="{96A493B3-8B99-1D4E-9A2E-E9CF134612B1}"/>
    <cellStyle name="Normal 3" xfId="2" xr:uid="{701A1BBE-4888-304D-9561-17D3834152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76BD-9E02-1641-86AA-977379E291D6}">
  <sheetPr>
    <pageSetUpPr fitToPage="1"/>
  </sheetPr>
  <dimension ref="A1:K1000"/>
  <sheetViews>
    <sheetView showGridLines="0" tabSelected="1" zoomScale="160" zoomScaleNormal="140" workbookViewId="0">
      <selection activeCell="A66" sqref="A66"/>
    </sheetView>
  </sheetViews>
  <sheetFormatPr baseColWidth="10" defaultColWidth="12.6640625" defaultRowHeight="15" x14ac:dyDescent="0.2"/>
  <cols>
    <col min="1" max="1" width="48.83203125" style="22" customWidth="1"/>
    <col min="2" max="2" width="14.5" style="22" customWidth="1"/>
    <col min="3" max="3" width="7.33203125" style="22" customWidth="1"/>
    <col min="4" max="4" width="8.33203125" style="22" customWidth="1"/>
    <col min="5" max="5" width="14.5" style="22" customWidth="1"/>
    <col min="6" max="6" width="7.33203125" style="22" customWidth="1"/>
    <col min="7" max="7" width="10.5" style="22" customWidth="1"/>
    <col min="8" max="8" width="13.6640625" customWidth="1"/>
    <col min="9" max="9" width="13" customWidth="1"/>
    <col min="10" max="10" width="24.6640625" customWidth="1"/>
  </cols>
  <sheetData>
    <row r="1" spans="1:11" x14ac:dyDescent="0.2">
      <c r="A1" s="1"/>
      <c r="B1" s="1"/>
      <c r="C1" s="1"/>
      <c r="D1" s="1"/>
      <c r="E1" s="1"/>
      <c r="F1" s="1"/>
      <c r="G1" s="1"/>
    </row>
    <row r="2" spans="1:11" ht="1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</row>
    <row r="4" spans="1:11" x14ac:dyDescent="0.2">
      <c r="A4" s="3"/>
      <c r="B4" s="4"/>
      <c r="C4" s="4"/>
      <c r="D4" s="4"/>
      <c r="E4" s="4"/>
      <c r="F4" s="4"/>
      <c r="G4" s="4"/>
    </row>
    <row r="5" spans="1:11" ht="21" customHeight="1" x14ac:dyDescent="0.2">
      <c r="A5" s="5" t="s">
        <v>1</v>
      </c>
      <c r="B5" s="6"/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7"/>
    </row>
    <row r="6" spans="1:11" x14ac:dyDescent="0.2">
      <c r="A6" s="8" t="s">
        <v>9</v>
      </c>
      <c r="B6" s="8" t="s">
        <v>10</v>
      </c>
      <c r="C6" s="8" t="s">
        <v>11</v>
      </c>
      <c r="D6" s="8">
        <v>1</v>
      </c>
      <c r="E6" s="8">
        <v>2375.96</v>
      </c>
      <c r="F6" s="8">
        <v>12</v>
      </c>
      <c r="G6" s="8">
        <f t="shared" ref="G6:G12" si="0">(D6*E6*F6)/12</f>
        <v>2375.96</v>
      </c>
      <c r="H6" s="8">
        <f>G6/144</f>
        <v>16.499722222222221</v>
      </c>
      <c r="I6" s="8">
        <f>H6*12</f>
        <v>197.99666666666667</v>
      </c>
      <c r="J6" s="9"/>
      <c r="K6" s="10"/>
    </row>
    <row r="7" spans="1:11" x14ac:dyDescent="0.2">
      <c r="A7" s="8" t="s">
        <v>12</v>
      </c>
      <c r="B7" s="8" t="s">
        <v>10</v>
      </c>
      <c r="C7" s="8" t="s">
        <v>11</v>
      </c>
      <c r="D7" s="8">
        <v>1</v>
      </c>
      <c r="E7" s="8">
        <v>2375.96</v>
      </c>
      <c r="F7" s="8">
        <v>12</v>
      </c>
      <c r="G7" s="8">
        <f t="shared" si="0"/>
        <v>2375.96</v>
      </c>
      <c r="H7" s="8">
        <f>G7/144</f>
        <v>16.499722222222221</v>
      </c>
      <c r="I7" s="8">
        <f t="shared" ref="I7:I63" si="1">H7*12</f>
        <v>197.99666666666667</v>
      </c>
      <c r="J7" s="9"/>
      <c r="K7" s="10"/>
    </row>
    <row r="8" spans="1:11" x14ac:dyDescent="0.2">
      <c r="A8" s="8" t="s">
        <v>13</v>
      </c>
      <c r="B8" s="8" t="s">
        <v>10</v>
      </c>
      <c r="C8" s="8" t="s">
        <v>11</v>
      </c>
      <c r="D8" s="8">
        <v>0.33</v>
      </c>
      <c r="E8" s="8">
        <v>2375.96</v>
      </c>
      <c r="F8" s="8">
        <v>12</v>
      </c>
      <c r="G8" s="8">
        <f t="shared" si="0"/>
        <v>784.06680000000006</v>
      </c>
      <c r="H8" s="8">
        <f>G8/144</f>
        <v>5.4449083333333341</v>
      </c>
      <c r="I8" s="8">
        <f t="shared" si="1"/>
        <v>65.33890000000001</v>
      </c>
      <c r="J8" s="9"/>
      <c r="K8" s="10"/>
    </row>
    <row r="9" spans="1:11" x14ac:dyDescent="0.2">
      <c r="A9" s="8" t="s">
        <v>14</v>
      </c>
      <c r="B9" s="8" t="s">
        <v>10</v>
      </c>
      <c r="C9" s="8" t="s">
        <v>11</v>
      </c>
      <c r="D9" s="8">
        <v>1</v>
      </c>
      <c r="E9" s="8">
        <v>2279</v>
      </c>
      <c r="F9" s="8">
        <v>12</v>
      </c>
      <c r="G9" s="8">
        <f t="shared" si="0"/>
        <v>2279</v>
      </c>
      <c r="H9" s="8">
        <f>G9/144</f>
        <v>15.826388888888889</v>
      </c>
      <c r="I9" s="8">
        <f t="shared" si="1"/>
        <v>189.91666666666669</v>
      </c>
      <c r="J9" s="9"/>
      <c r="K9" s="10"/>
    </row>
    <row r="10" spans="1:11" x14ac:dyDescent="0.2">
      <c r="A10" s="8" t="s">
        <v>15</v>
      </c>
      <c r="B10" s="8" t="s">
        <v>10</v>
      </c>
      <c r="C10" s="8" t="s">
        <v>11</v>
      </c>
      <c r="D10" s="8">
        <v>1</v>
      </c>
      <c r="E10" s="8">
        <v>1355.19</v>
      </c>
      <c r="F10" s="8">
        <v>12</v>
      </c>
      <c r="G10" s="8">
        <f>(D10*E10*F10)/12</f>
        <v>1355.19</v>
      </c>
      <c r="H10" s="8">
        <f>G10/144</f>
        <v>9.4110416666666676</v>
      </c>
      <c r="I10" s="8">
        <f t="shared" si="1"/>
        <v>112.9325</v>
      </c>
      <c r="J10" s="9"/>
      <c r="K10" s="10"/>
    </row>
    <row r="11" spans="1:11" x14ac:dyDescent="0.2">
      <c r="A11" s="8" t="s">
        <v>16</v>
      </c>
      <c r="B11" s="8" t="s">
        <v>10</v>
      </c>
      <c r="C11" s="8" t="s">
        <v>11</v>
      </c>
      <c r="D11" s="8">
        <v>1</v>
      </c>
      <c r="E11" s="8">
        <v>3586.67</v>
      </c>
      <c r="F11" s="8">
        <v>12</v>
      </c>
      <c r="G11" s="8">
        <f t="shared" si="0"/>
        <v>3586.67</v>
      </c>
      <c r="H11" s="8">
        <f>G11/144</f>
        <v>24.907430555555557</v>
      </c>
      <c r="I11" s="8">
        <f t="shared" si="1"/>
        <v>298.88916666666671</v>
      </c>
      <c r="J11" s="9"/>
      <c r="K11" s="10"/>
    </row>
    <row r="12" spans="1:11" x14ac:dyDescent="0.2">
      <c r="A12" s="8" t="s">
        <v>17</v>
      </c>
      <c r="B12" s="8" t="s">
        <v>10</v>
      </c>
      <c r="C12" s="8" t="s">
        <v>11</v>
      </c>
      <c r="D12" s="8">
        <v>1</v>
      </c>
      <c r="E12" s="8">
        <v>1263.28</v>
      </c>
      <c r="F12" s="8">
        <v>12</v>
      </c>
      <c r="G12" s="8">
        <f t="shared" si="0"/>
        <v>1263.28</v>
      </c>
      <c r="H12" s="8">
        <f>G12/144</f>
        <v>8.7727777777777778</v>
      </c>
      <c r="I12" s="8">
        <f t="shared" si="1"/>
        <v>105.27333333333334</v>
      </c>
      <c r="J12" s="9"/>
      <c r="K12" s="10"/>
    </row>
    <row r="13" spans="1:11" x14ac:dyDescent="0.2">
      <c r="A13" s="8" t="s">
        <v>18</v>
      </c>
      <c r="B13" s="8" t="s">
        <v>10</v>
      </c>
      <c r="C13" s="8"/>
      <c r="D13" s="8"/>
      <c r="E13" s="8"/>
      <c r="F13" s="8">
        <v>12</v>
      </c>
      <c r="G13" s="8">
        <f>+SUM(G6:G12)*18%</f>
        <v>2523.622824</v>
      </c>
      <c r="H13" s="8">
        <f>G13/144</f>
        <v>17.5251585</v>
      </c>
      <c r="I13" s="8">
        <f t="shared" si="1"/>
        <v>210.30190199999998</v>
      </c>
      <c r="J13" s="9"/>
      <c r="K13" s="10"/>
    </row>
    <row r="14" spans="1:11" x14ac:dyDescent="0.2">
      <c r="A14" s="11"/>
      <c r="B14" s="11"/>
      <c r="C14" s="11"/>
      <c r="D14" s="12"/>
      <c r="E14" s="12"/>
      <c r="F14" s="12"/>
      <c r="G14" s="13">
        <f>SUM(G6:G13)</f>
        <v>16543.749624000004</v>
      </c>
      <c r="H14" s="13">
        <f>SUM(H6:H13)</f>
        <v>114.88715016666667</v>
      </c>
      <c r="I14" s="13">
        <f t="shared" si="1"/>
        <v>1378.645802</v>
      </c>
    </row>
    <row r="15" spans="1:11" x14ac:dyDescent="0.2">
      <c r="A15" s="3"/>
      <c r="B15" s="4"/>
      <c r="C15" s="4"/>
      <c r="D15" s="4"/>
      <c r="E15" s="4"/>
      <c r="F15" s="4"/>
      <c r="G15" s="4"/>
      <c r="H15" s="14"/>
      <c r="I15" s="9"/>
    </row>
    <row r="16" spans="1:11" ht="24" x14ac:dyDescent="0.2">
      <c r="A16" s="5" t="s">
        <v>19</v>
      </c>
      <c r="B16" s="6"/>
      <c r="C16" s="6"/>
      <c r="D16" s="6" t="s">
        <v>3</v>
      </c>
      <c r="E16" s="6" t="s">
        <v>4</v>
      </c>
      <c r="F16" s="6" t="s">
        <v>5</v>
      </c>
      <c r="G16" s="6" t="s">
        <v>6</v>
      </c>
      <c r="H16" s="6" t="s">
        <v>7</v>
      </c>
      <c r="I16" s="6" t="s">
        <v>8</v>
      </c>
    </row>
    <row r="17" spans="1:11" x14ac:dyDescent="0.2">
      <c r="A17" s="8" t="s">
        <v>20</v>
      </c>
      <c r="B17" s="15" t="s">
        <v>10</v>
      </c>
      <c r="C17" s="15" t="s">
        <v>11</v>
      </c>
      <c r="D17" s="8">
        <v>1</v>
      </c>
      <c r="E17" s="8">
        <v>600</v>
      </c>
      <c r="F17" s="8">
        <v>12</v>
      </c>
      <c r="G17" s="8">
        <f t="shared" ref="G17:G25" si="2">(D17*E17*F17)/12</f>
        <v>600</v>
      </c>
      <c r="H17" s="8">
        <f>G17/144</f>
        <v>4.166666666666667</v>
      </c>
      <c r="I17" s="8">
        <f t="shared" si="1"/>
        <v>50</v>
      </c>
    </row>
    <row r="18" spans="1:11" x14ac:dyDescent="0.2">
      <c r="A18" s="8" t="s">
        <v>21</v>
      </c>
      <c r="B18" s="15" t="s">
        <v>10</v>
      </c>
      <c r="C18" s="15" t="s">
        <v>11</v>
      </c>
      <c r="D18" s="8">
        <v>1</v>
      </c>
      <c r="E18" s="8">
        <v>50</v>
      </c>
      <c r="F18" s="8">
        <v>12</v>
      </c>
      <c r="G18" s="8">
        <f t="shared" si="2"/>
        <v>50</v>
      </c>
      <c r="H18" s="8">
        <f>G18/144</f>
        <v>0.34722222222222221</v>
      </c>
      <c r="I18" s="8">
        <f t="shared" si="1"/>
        <v>4.1666666666666661</v>
      </c>
      <c r="J18" s="9"/>
      <c r="K18" s="10"/>
    </row>
    <row r="19" spans="1:11" x14ac:dyDescent="0.2">
      <c r="A19" s="16" t="s">
        <v>22</v>
      </c>
      <c r="B19" s="16" t="s">
        <v>23</v>
      </c>
      <c r="C19" s="16" t="s">
        <v>11</v>
      </c>
      <c r="D19" s="17">
        <v>1</v>
      </c>
      <c r="E19" s="16">
        <v>450</v>
      </c>
      <c r="F19" s="16">
        <v>2</v>
      </c>
      <c r="G19" s="16">
        <f>(D19*E19*F19)/12</f>
        <v>75</v>
      </c>
      <c r="H19" s="16">
        <f>G19/144</f>
        <v>0.52083333333333337</v>
      </c>
      <c r="I19" s="16">
        <f t="shared" si="1"/>
        <v>6.25</v>
      </c>
    </row>
    <row r="20" spans="1:11" x14ac:dyDescent="0.2">
      <c r="A20" s="8" t="s">
        <v>24</v>
      </c>
      <c r="B20" s="15" t="s">
        <v>10</v>
      </c>
      <c r="C20" s="15" t="s">
        <v>11</v>
      </c>
      <c r="D20" s="8">
        <v>1</v>
      </c>
      <c r="E20" s="8">
        <v>450</v>
      </c>
      <c r="F20" s="8">
        <v>12</v>
      </c>
      <c r="G20" s="8">
        <f>(D20*E20*F20)/12</f>
        <v>450</v>
      </c>
      <c r="H20" s="8">
        <f>G20/144</f>
        <v>3.125</v>
      </c>
      <c r="I20" s="8">
        <f t="shared" si="1"/>
        <v>37.5</v>
      </c>
      <c r="J20" s="9"/>
      <c r="K20" s="10"/>
    </row>
    <row r="21" spans="1:11" s="18" customFormat="1" ht="11" x14ac:dyDescent="0.15">
      <c r="A21" s="12"/>
      <c r="B21" s="11"/>
      <c r="C21" s="12"/>
      <c r="D21" s="12"/>
      <c r="E21" s="12"/>
      <c r="F21" s="12"/>
      <c r="G21" s="13">
        <f>SUM(G17:G20)</f>
        <v>1175</v>
      </c>
      <c r="H21" s="13">
        <f>SUM(H17:H20)</f>
        <v>8.1597222222222214</v>
      </c>
      <c r="I21" s="13">
        <f t="shared" si="1"/>
        <v>97.916666666666657</v>
      </c>
    </row>
    <row r="22" spans="1:11" x14ac:dyDescent="0.2">
      <c r="A22" s="8"/>
      <c r="B22" s="15"/>
      <c r="C22" s="15"/>
      <c r="D22" s="8"/>
      <c r="E22" s="8"/>
      <c r="F22" s="8"/>
      <c r="G22" s="8"/>
      <c r="H22" s="14"/>
      <c r="I22" s="9"/>
    </row>
    <row r="23" spans="1:11" s="18" customFormat="1" ht="24" x14ac:dyDescent="0.15">
      <c r="A23" s="5" t="s">
        <v>25</v>
      </c>
      <c r="B23" s="6"/>
      <c r="C23" s="6" t="s">
        <v>3</v>
      </c>
      <c r="D23" s="6" t="s">
        <v>3</v>
      </c>
      <c r="E23" s="6" t="s">
        <v>4</v>
      </c>
      <c r="F23" s="6" t="s">
        <v>5</v>
      </c>
      <c r="G23" s="6" t="s">
        <v>6</v>
      </c>
      <c r="H23" s="6" t="s">
        <v>7</v>
      </c>
      <c r="I23" s="6" t="s">
        <v>8</v>
      </c>
    </row>
    <row r="24" spans="1:11" x14ac:dyDescent="0.2">
      <c r="A24" s="8" t="s">
        <v>26</v>
      </c>
      <c r="B24" s="8" t="s">
        <v>10</v>
      </c>
      <c r="C24" s="8" t="s">
        <v>11</v>
      </c>
      <c r="D24" s="8">
        <v>144</v>
      </c>
      <c r="E24" s="8">
        <v>2.5</v>
      </c>
      <c r="F24" s="8">
        <v>12</v>
      </c>
      <c r="G24" s="8">
        <f t="shared" si="2"/>
        <v>360</v>
      </c>
      <c r="H24" s="8">
        <f>G24/144</f>
        <v>2.5</v>
      </c>
      <c r="I24" s="8">
        <f t="shared" si="1"/>
        <v>30</v>
      </c>
      <c r="J24" s="9"/>
      <c r="K24" s="10"/>
    </row>
    <row r="25" spans="1:11" x14ac:dyDescent="0.2">
      <c r="A25" s="8" t="s">
        <v>27</v>
      </c>
      <c r="B25" s="15" t="s">
        <v>10</v>
      </c>
      <c r="C25" s="15" t="s">
        <v>11</v>
      </c>
      <c r="D25" s="8">
        <v>144</v>
      </c>
      <c r="E25" s="8">
        <v>5</v>
      </c>
      <c r="F25" s="8">
        <v>12</v>
      </c>
      <c r="G25" s="8">
        <f t="shared" si="2"/>
        <v>720</v>
      </c>
      <c r="H25" s="8">
        <f>G25/144</f>
        <v>5</v>
      </c>
      <c r="I25" s="8">
        <f t="shared" si="1"/>
        <v>60</v>
      </c>
      <c r="J25" s="9"/>
      <c r="K25" s="10"/>
    </row>
    <row r="26" spans="1:11" x14ac:dyDescent="0.2">
      <c r="A26" s="12"/>
      <c r="B26" s="11"/>
      <c r="C26" s="11"/>
      <c r="D26" s="12"/>
      <c r="E26" s="12"/>
      <c r="F26" s="12"/>
      <c r="G26" s="13">
        <f>SUM(G24:G25)</f>
        <v>1080</v>
      </c>
      <c r="H26" s="13">
        <f>SUM(H24:H25)</f>
        <v>7.5</v>
      </c>
      <c r="I26" s="13">
        <f t="shared" si="1"/>
        <v>90</v>
      </c>
      <c r="J26" s="18"/>
      <c r="K26" s="18"/>
    </row>
    <row r="27" spans="1:11" x14ac:dyDescent="0.2">
      <c r="A27" s="3"/>
      <c r="B27" s="4"/>
      <c r="C27" s="4"/>
      <c r="D27" s="4"/>
      <c r="E27" s="4"/>
      <c r="F27" s="4"/>
      <c r="G27" s="4"/>
      <c r="H27" s="14"/>
      <c r="I27" s="9"/>
    </row>
    <row r="28" spans="1:11" ht="24" x14ac:dyDescent="0.2">
      <c r="A28" s="5" t="s">
        <v>28</v>
      </c>
      <c r="B28" s="6"/>
      <c r="C28" s="6"/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18"/>
      <c r="K28" s="18"/>
    </row>
    <row r="29" spans="1:11" x14ac:dyDescent="0.2">
      <c r="A29" s="16" t="s">
        <v>29</v>
      </c>
      <c r="B29" s="16" t="s">
        <v>10</v>
      </c>
      <c r="C29" s="16" t="s">
        <v>11</v>
      </c>
      <c r="D29" s="16">
        <v>2</v>
      </c>
      <c r="E29" s="16">
        <v>400</v>
      </c>
      <c r="F29" s="16">
        <v>12</v>
      </c>
      <c r="G29" s="16">
        <f>D29*E29*F29/12</f>
        <v>800</v>
      </c>
      <c r="H29" s="16">
        <f>G29/144</f>
        <v>5.5555555555555554</v>
      </c>
      <c r="I29" s="16">
        <f>H29*12</f>
        <v>66.666666666666657</v>
      </c>
    </row>
    <row r="30" spans="1:11" x14ac:dyDescent="0.2">
      <c r="A30" s="16" t="s">
        <v>30</v>
      </c>
      <c r="B30" s="16" t="s">
        <v>23</v>
      </c>
      <c r="C30" s="16" t="s">
        <v>11</v>
      </c>
      <c r="D30" s="17">
        <v>1</v>
      </c>
      <c r="E30" s="16">
        <v>2100</v>
      </c>
      <c r="F30" s="16">
        <v>2</v>
      </c>
      <c r="G30" s="16">
        <f t="shared" ref="G30:G61" si="3">(D30*E30*F30)/12</f>
        <v>350</v>
      </c>
      <c r="H30" s="16">
        <f t="shared" ref="H30:H62" si="4">G30/144</f>
        <v>2.4305555555555554</v>
      </c>
      <c r="I30" s="16">
        <f t="shared" si="1"/>
        <v>29.166666666666664</v>
      </c>
    </row>
    <row r="31" spans="1:11" x14ac:dyDescent="0.2">
      <c r="A31" s="16" t="s">
        <v>31</v>
      </c>
      <c r="B31" s="16" t="s">
        <v>32</v>
      </c>
      <c r="C31" s="16" t="s">
        <v>11</v>
      </c>
      <c r="D31" s="17">
        <v>1</v>
      </c>
      <c r="E31" s="16">
        <v>700</v>
      </c>
      <c r="F31" s="16">
        <v>1</v>
      </c>
      <c r="G31" s="16">
        <f t="shared" si="3"/>
        <v>58.333333333333336</v>
      </c>
      <c r="H31" s="16">
        <f t="shared" si="4"/>
        <v>0.40509259259259262</v>
      </c>
      <c r="I31" s="16">
        <f t="shared" si="1"/>
        <v>4.8611111111111116</v>
      </c>
    </row>
    <row r="32" spans="1:11" x14ac:dyDescent="0.2">
      <c r="A32" s="19" t="s">
        <v>33</v>
      </c>
      <c r="B32" s="19" t="s">
        <v>23</v>
      </c>
      <c r="C32" s="20" t="s">
        <v>11</v>
      </c>
      <c r="D32" s="19">
        <v>1</v>
      </c>
      <c r="E32" s="19">
        <v>2500</v>
      </c>
      <c r="F32" s="19">
        <v>2</v>
      </c>
      <c r="G32" s="19">
        <f>(D32*E32*F32)/12</f>
        <v>416.66666666666669</v>
      </c>
      <c r="H32" s="19">
        <f t="shared" si="4"/>
        <v>2.8935185185185186</v>
      </c>
      <c r="I32" s="19">
        <f t="shared" si="1"/>
        <v>34.722222222222221</v>
      </c>
      <c r="J32" s="9"/>
      <c r="K32" s="10"/>
    </row>
    <row r="33" spans="1:11" x14ac:dyDescent="0.2">
      <c r="A33" s="16" t="s">
        <v>34</v>
      </c>
      <c r="B33" s="16" t="s">
        <v>23</v>
      </c>
      <c r="C33" s="16" t="s">
        <v>11</v>
      </c>
      <c r="D33" s="17">
        <v>1</v>
      </c>
      <c r="E33" s="16">
        <v>1600</v>
      </c>
      <c r="F33" s="16">
        <v>2</v>
      </c>
      <c r="G33" s="16">
        <f t="shared" si="3"/>
        <v>266.66666666666669</v>
      </c>
      <c r="H33" s="16">
        <f t="shared" si="4"/>
        <v>1.8518518518518521</v>
      </c>
      <c r="I33" s="16">
        <f t="shared" si="1"/>
        <v>22.222222222222225</v>
      </c>
    </row>
    <row r="34" spans="1:11" x14ac:dyDescent="0.2">
      <c r="A34" s="16" t="s">
        <v>35</v>
      </c>
      <c r="B34" s="16" t="s">
        <v>23</v>
      </c>
      <c r="C34" s="16" t="s">
        <v>11</v>
      </c>
      <c r="D34" s="17">
        <v>1</v>
      </c>
      <c r="E34" s="16">
        <v>700</v>
      </c>
      <c r="F34" s="16">
        <v>2</v>
      </c>
      <c r="G34" s="16">
        <f t="shared" si="3"/>
        <v>116.66666666666667</v>
      </c>
      <c r="H34" s="16">
        <f t="shared" si="4"/>
        <v>0.81018518518518523</v>
      </c>
      <c r="I34" s="16">
        <f t="shared" si="1"/>
        <v>9.7222222222222232</v>
      </c>
    </row>
    <row r="35" spans="1:11" x14ac:dyDescent="0.2">
      <c r="A35" s="16" t="s">
        <v>36</v>
      </c>
      <c r="B35" s="16" t="s">
        <v>23</v>
      </c>
      <c r="C35" s="16" t="s">
        <v>11</v>
      </c>
      <c r="D35" s="17">
        <v>1</v>
      </c>
      <c r="E35" s="16">
        <v>2230</v>
      </c>
      <c r="F35" s="16">
        <v>2</v>
      </c>
      <c r="G35" s="16">
        <f t="shared" si="3"/>
        <v>371.66666666666669</v>
      </c>
      <c r="H35" s="16">
        <f t="shared" si="4"/>
        <v>2.5810185185185186</v>
      </c>
      <c r="I35" s="16">
        <f t="shared" si="1"/>
        <v>30.972222222222221</v>
      </c>
    </row>
    <row r="36" spans="1:11" x14ac:dyDescent="0.2">
      <c r="A36" s="16" t="s">
        <v>37</v>
      </c>
      <c r="B36" s="16" t="s">
        <v>32</v>
      </c>
      <c r="C36" s="16" t="s">
        <v>11</v>
      </c>
      <c r="D36" s="17">
        <v>1</v>
      </c>
      <c r="E36" s="16">
        <v>944</v>
      </c>
      <c r="F36" s="16">
        <v>1</v>
      </c>
      <c r="G36" s="16">
        <f t="shared" si="3"/>
        <v>78.666666666666671</v>
      </c>
      <c r="H36" s="16">
        <f t="shared" si="4"/>
        <v>0.54629629629629628</v>
      </c>
      <c r="I36" s="16">
        <f t="shared" si="1"/>
        <v>6.5555555555555554</v>
      </c>
    </row>
    <row r="37" spans="1:11" x14ac:dyDescent="0.2">
      <c r="A37" s="8" t="s">
        <v>38</v>
      </c>
      <c r="B37" s="8" t="s">
        <v>32</v>
      </c>
      <c r="C37" s="8" t="s">
        <v>11</v>
      </c>
      <c r="D37" s="8">
        <v>1</v>
      </c>
      <c r="E37" s="8">
        <v>1500</v>
      </c>
      <c r="F37" s="8">
        <v>1</v>
      </c>
      <c r="G37" s="8">
        <f t="shared" si="3"/>
        <v>125</v>
      </c>
      <c r="H37" s="19">
        <f t="shared" si="4"/>
        <v>0.86805555555555558</v>
      </c>
      <c r="I37" s="8">
        <f t="shared" si="1"/>
        <v>10.416666666666668</v>
      </c>
      <c r="J37" s="9"/>
      <c r="K37" s="10"/>
    </row>
    <row r="38" spans="1:11" x14ac:dyDescent="0.2">
      <c r="A38" s="19" t="s">
        <v>39</v>
      </c>
      <c r="B38" s="19" t="s">
        <v>32</v>
      </c>
      <c r="C38" s="20" t="s">
        <v>11</v>
      </c>
      <c r="D38" s="19">
        <v>1</v>
      </c>
      <c r="E38" s="19">
        <v>2573</v>
      </c>
      <c r="F38" s="19">
        <v>1</v>
      </c>
      <c r="G38" s="19">
        <f t="shared" si="3"/>
        <v>214.41666666666666</v>
      </c>
      <c r="H38" s="19">
        <f t="shared" si="4"/>
        <v>1.4890046296296295</v>
      </c>
      <c r="I38" s="19">
        <f t="shared" si="1"/>
        <v>17.868055555555554</v>
      </c>
      <c r="J38" s="9"/>
      <c r="K38" s="10"/>
    </row>
    <row r="39" spans="1:11" x14ac:dyDescent="0.2">
      <c r="A39" s="16" t="s">
        <v>40</v>
      </c>
      <c r="B39" s="16" t="s">
        <v>32</v>
      </c>
      <c r="C39" s="16" t="s">
        <v>11</v>
      </c>
      <c r="D39" s="17">
        <v>1</v>
      </c>
      <c r="E39" s="16">
        <v>300</v>
      </c>
      <c r="F39" s="16">
        <v>1</v>
      </c>
      <c r="G39" s="16">
        <f t="shared" si="3"/>
        <v>25</v>
      </c>
      <c r="H39" s="16">
        <f t="shared" si="4"/>
        <v>0.1736111111111111</v>
      </c>
      <c r="I39" s="16">
        <f t="shared" si="1"/>
        <v>2.083333333333333</v>
      </c>
    </row>
    <row r="40" spans="1:11" x14ac:dyDescent="0.2">
      <c r="A40" s="19" t="s">
        <v>41</v>
      </c>
      <c r="B40" s="19" t="s">
        <v>32</v>
      </c>
      <c r="C40" s="20" t="s">
        <v>11</v>
      </c>
      <c r="D40" s="19">
        <v>2</v>
      </c>
      <c r="E40" s="19">
        <v>360</v>
      </c>
      <c r="F40" s="19">
        <v>1</v>
      </c>
      <c r="G40" s="19">
        <f t="shared" si="3"/>
        <v>60</v>
      </c>
      <c r="H40" s="19">
        <f t="shared" si="4"/>
        <v>0.41666666666666669</v>
      </c>
      <c r="I40" s="19">
        <f t="shared" si="1"/>
        <v>5</v>
      </c>
      <c r="J40" s="9"/>
      <c r="K40" s="10"/>
    </row>
    <row r="41" spans="1:11" x14ac:dyDescent="0.2">
      <c r="A41" s="19" t="s">
        <v>42</v>
      </c>
      <c r="B41" s="19" t="s">
        <v>23</v>
      </c>
      <c r="C41" s="20" t="s">
        <v>11</v>
      </c>
      <c r="D41" s="19">
        <v>1</v>
      </c>
      <c r="E41" s="19">
        <v>1770</v>
      </c>
      <c r="F41" s="19">
        <v>2</v>
      </c>
      <c r="G41" s="19">
        <f t="shared" si="3"/>
        <v>295</v>
      </c>
      <c r="H41" s="19">
        <f t="shared" si="4"/>
        <v>2.0486111111111112</v>
      </c>
      <c r="I41" s="19">
        <f t="shared" si="1"/>
        <v>24.583333333333336</v>
      </c>
      <c r="J41" s="9"/>
      <c r="K41" s="10"/>
    </row>
    <row r="42" spans="1:11" x14ac:dyDescent="0.2">
      <c r="A42" s="19" t="s">
        <v>43</v>
      </c>
      <c r="B42" s="19" t="s">
        <v>32</v>
      </c>
      <c r="C42" s="20" t="s">
        <v>11</v>
      </c>
      <c r="D42" s="19">
        <v>146</v>
      </c>
      <c r="E42" s="19">
        <v>4</v>
      </c>
      <c r="F42" s="19">
        <v>1</v>
      </c>
      <c r="G42" s="19">
        <f t="shared" si="3"/>
        <v>48.666666666666664</v>
      </c>
      <c r="H42" s="19">
        <f t="shared" si="4"/>
        <v>0.33796296296296297</v>
      </c>
      <c r="I42" s="19">
        <f t="shared" si="1"/>
        <v>4.0555555555555554</v>
      </c>
      <c r="J42" s="9"/>
      <c r="K42" s="10"/>
    </row>
    <row r="43" spans="1:11" x14ac:dyDescent="0.2">
      <c r="A43" s="19" t="s">
        <v>44</v>
      </c>
      <c r="B43" s="19" t="s">
        <v>32</v>
      </c>
      <c r="C43" s="20" t="s">
        <v>11</v>
      </c>
      <c r="D43" s="19">
        <v>147</v>
      </c>
      <c r="E43" s="19">
        <v>1.5</v>
      </c>
      <c r="F43" s="19">
        <v>1</v>
      </c>
      <c r="G43" s="19">
        <f t="shared" si="3"/>
        <v>18.375</v>
      </c>
      <c r="H43" s="19">
        <f t="shared" si="4"/>
        <v>0.12760416666666666</v>
      </c>
      <c r="I43" s="19">
        <f t="shared" si="1"/>
        <v>1.53125</v>
      </c>
      <c r="J43" s="9"/>
      <c r="K43" s="10"/>
    </row>
    <row r="44" spans="1:11" x14ac:dyDescent="0.2">
      <c r="A44" s="19" t="s">
        <v>45</v>
      </c>
      <c r="B44" s="19" t="s">
        <v>32</v>
      </c>
      <c r="C44" s="20" t="s">
        <v>11</v>
      </c>
      <c r="D44" s="19">
        <v>174</v>
      </c>
      <c r="E44" s="19">
        <v>3</v>
      </c>
      <c r="F44" s="19">
        <v>1</v>
      </c>
      <c r="G44" s="19">
        <f t="shared" si="3"/>
        <v>43.5</v>
      </c>
      <c r="H44" s="19">
        <f t="shared" si="4"/>
        <v>0.30208333333333331</v>
      </c>
      <c r="I44" s="19">
        <f t="shared" si="1"/>
        <v>3.625</v>
      </c>
      <c r="J44" s="9"/>
      <c r="K44" s="10"/>
    </row>
    <row r="45" spans="1:11" x14ac:dyDescent="0.2">
      <c r="A45" s="19" t="s">
        <v>46</v>
      </c>
      <c r="B45" s="19" t="s">
        <v>47</v>
      </c>
      <c r="C45" s="19" t="s">
        <v>11</v>
      </c>
      <c r="D45" s="19">
        <v>199</v>
      </c>
      <c r="E45" s="19">
        <v>10</v>
      </c>
      <c r="F45" s="19">
        <v>1</v>
      </c>
      <c r="G45" s="19">
        <f t="shared" si="3"/>
        <v>165.83333333333334</v>
      </c>
      <c r="H45" s="19">
        <f t="shared" si="4"/>
        <v>1.1516203703703705</v>
      </c>
      <c r="I45" s="19">
        <f t="shared" si="1"/>
        <v>13.819444444444446</v>
      </c>
      <c r="J45" s="9"/>
      <c r="K45" s="10"/>
    </row>
    <row r="46" spans="1:11" x14ac:dyDescent="0.2">
      <c r="A46" s="19" t="s">
        <v>48</v>
      </c>
      <c r="B46" s="19" t="s">
        <v>47</v>
      </c>
      <c r="C46" s="19" t="s">
        <v>11</v>
      </c>
      <c r="D46" s="19">
        <v>48</v>
      </c>
      <c r="E46" s="19">
        <v>28</v>
      </c>
      <c r="F46" s="19">
        <v>1</v>
      </c>
      <c r="G46" s="19">
        <f t="shared" si="3"/>
        <v>112</v>
      </c>
      <c r="H46" s="19">
        <f t="shared" si="4"/>
        <v>0.77777777777777779</v>
      </c>
      <c r="I46" s="19">
        <f t="shared" si="1"/>
        <v>9.3333333333333339</v>
      </c>
      <c r="J46" s="9"/>
      <c r="K46" s="10"/>
    </row>
    <row r="47" spans="1:11" x14ac:dyDescent="0.2">
      <c r="A47" s="16" t="s">
        <v>49</v>
      </c>
      <c r="B47" s="16" t="s">
        <v>32</v>
      </c>
      <c r="C47" s="16" t="s">
        <v>11</v>
      </c>
      <c r="D47" s="17">
        <v>1</v>
      </c>
      <c r="E47" s="16">
        <v>1100</v>
      </c>
      <c r="F47" s="16">
        <v>1</v>
      </c>
      <c r="G47" s="16">
        <f t="shared" si="3"/>
        <v>91.666666666666671</v>
      </c>
      <c r="H47" s="16">
        <f t="shared" si="4"/>
        <v>0.63657407407407407</v>
      </c>
      <c r="I47" s="16">
        <f t="shared" si="1"/>
        <v>7.6388888888888893</v>
      </c>
    </row>
    <row r="48" spans="1:11" x14ac:dyDescent="0.2">
      <c r="A48" s="19" t="s">
        <v>50</v>
      </c>
      <c r="B48" s="19" t="s">
        <v>51</v>
      </c>
      <c r="C48" s="19" t="s">
        <v>11</v>
      </c>
      <c r="D48" s="19">
        <v>1</v>
      </c>
      <c r="E48" s="19">
        <v>150</v>
      </c>
      <c r="F48" s="19">
        <v>4</v>
      </c>
      <c r="G48" s="19">
        <f t="shared" si="3"/>
        <v>50</v>
      </c>
      <c r="H48" s="19">
        <f t="shared" si="4"/>
        <v>0.34722222222222221</v>
      </c>
      <c r="I48" s="19">
        <f t="shared" si="1"/>
        <v>4.1666666666666661</v>
      </c>
      <c r="J48" s="9"/>
      <c r="K48" s="10"/>
    </row>
    <row r="49" spans="1:11" x14ac:dyDescent="0.2">
      <c r="A49" s="19" t="s">
        <v>52</v>
      </c>
      <c r="B49" s="19" t="s">
        <v>23</v>
      </c>
      <c r="C49" s="19" t="s">
        <v>11</v>
      </c>
      <c r="D49" s="19">
        <v>1</v>
      </c>
      <c r="E49" s="19">
        <v>30</v>
      </c>
      <c r="F49" s="19">
        <v>2</v>
      </c>
      <c r="G49" s="19">
        <f t="shared" si="3"/>
        <v>5</v>
      </c>
      <c r="H49" s="19">
        <f t="shared" si="4"/>
        <v>3.4722222222222224E-2</v>
      </c>
      <c r="I49" s="19">
        <f t="shared" si="1"/>
        <v>0.41666666666666669</v>
      </c>
      <c r="J49" s="9"/>
      <c r="K49" s="10"/>
    </row>
    <row r="50" spans="1:11" x14ac:dyDescent="0.2">
      <c r="A50" s="19" t="s">
        <v>53</v>
      </c>
      <c r="B50" s="19" t="s">
        <v>23</v>
      </c>
      <c r="C50" s="19" t="s">
        <v>11</v>
      </c>
      <c r="D50" s="19">
        <v>1</v>
      </c>
      <c r="E50" s="19">
        <v>71.430000000000007</v>
      </c>
      <c r="F50" s="19">
        <v>2</v>
      </c>
      <c r="G50" s="19">
        <f t="shared" si="3"/>
        <v>11.905000000000001</v>
      </c>
      <c r="H50" s="19">
        <f t="shared" si="4"/>
        <v>8.2673611111111114E-2</v>
      </c>
      <c r="I50" s="19">
        <f t="shared" si="1"/>
        <v>0.99208333333333343</v>
      </c>
      <c r="J50" s="9"/>
      <c r="K50" s="10"/>
    </row>
    <row r="51" spans="1:11" x14ac:dyDescent="0.2">
      <c r="A51" s="16" t="s">
        <v>54</v>
      </c>
      <c r="B51" s="16" t="s">
        <v>23</v>
      </c>
      <c r="C51" s="16" t="s">
        <v>11</v>
      </c>
      <c r="D51" s="17">
        <v>1</v>
      </c>
      <c r="E51" s="16">
        <v>300</v>
      </c>
      <c r="F51" s="16">
        <v>2</v>
      </c>
      <c r="G51" s="16">
        <f t="shared" si="3"/>
        <v>50</v>
      </c>
      <c r="H51" s="16">
        <f t="shared" si="4"/>
        <v>0.34722222222222221</v>
      </c>
      <c r="I51" s="16">
        <f t="shared" si="1"/>
        <v>4.1666666666666661</v>
      </c>
    </row>
    <row r="52" spans="1:11" x14ac:dyDescent="0.2">
      <c r="A52" s="19" t="s">
        <v>55</v>
      </c>
      <c r="B52" s="19" t="s">
        <v>23</v>
      </c>
      <c r="C52" s="19" t="s">
        <v>11</v>
      </c>
      <c r="D52" s="19">
        <v>32</v>
      </c>
      <c r="E52" s="19">
        <v>35</v>
      </c>
      <c r="F52" s="19">
        <v>2</v>
      </c>
      <c r="G52" s="19">
        <f>(D52*E52*F52)/12</f>
        <v>186.66666666666666</v>
      </c>
      <c r="H52" s="19">
        <f t="shared" si="4"/>
        <v>1.2962962962962963</v>
      </c>
      <c r="I52" s="19">
        <f t="shared" si="1"/>
        <v>15.555555555555555</v>
      </c>
    </row>
    <row r="53" spans="1:11" x14ac:dyDescent="0.2">
      <c r="A53" s="8" t="s">
        <v>56</v>
      </c>
      <c r="B53" s="8" t="s">
        <v>32</v>
      </c>
      <c r="C53" s="8" t="s">
        <v>11</v>
      </c>
      <c r="D53" s="8">
        <v>42</v>
      </c>
      <c r="E53" s="8">
        <v>35</v>
      </c>
      <c r="F53" s="8">
        <v>1</v>
      </c>
      <c r="G53" s="8">
        <f t="shared" si="3"/>
        <v>122.5</v>
      </c>
      <c r="H53" s="19">
        <f t="shared" si="4"/>
        <v>0.85069444444444442</v>
      </c>
      <c r="I53" s="8">
        <f t="shared" si="1"/>
        <v>10.208333333333332</v>
      </c>
      <c r="J53" s="9"/>
      <c r="K53" s="10"/>
    </row>
    <row r="54" spans="1:11" x14ac:dyDescent="0.2">
      <c r="A54" s="8" t="s">
        <v>57</v>
      </c>
      <c r="B54" s="8" t="s">
        <v>47</v>
      </c>
      <c r="C54" s="15" t="s">
        <v>11</v>
      </c>
      <c r="D54" s="8">
        <v>1</v>
      </c>
      <c r="E54" s="8">
        <v>650</v>
      </c>
      <c r="F54" s="8">
        <v>1</v>
      </c>
      <c r="G54" s="8">
        <f t="shared" si="3"/>
        <v>54.166666666666664</v>
      </c>
      <c r="H54" s="19">
        <f t="shared" si="4"/>
        <v>0.37615740740740738</v>
      </c>
      <c r="I54" s="8">
        <f t="shared" si="1"/>
        <v>4.5138888888888884</v>
      </c>
      <c r="J54" s="9"/>
      <c r="K54" s="10"/>
    </row>
    <row r="55" spans="1:11" x14ac:dyDescent="0.2">
      <c r="A55" s="8" t="s">
        <v>58</v>
      </c>
      <c r="B55" s="8" t="s">
        <v>47</v>
      </c>
      <c r="C55" s="15" t="s">
        <v>11</v>
      </c>
      <c r="D55" s="8">
        <v>1</v>
      </c>
      <c r="E55" s="8">
        <v>800</v>
      </c>
      <c r="F55" s="8">
        <v>1</v>
      </c>
      <c r="G55" s="8">
        <f t="shared" si="3"/>
        <v>66.666666666666671</v>
      </c>
      <c r="H55" s="19">
        <f t="shared" si="4"/>
        <v>0.46296296296296302</v>
      </c>
      <c r="I55" s="8">
        <f t="shared" si="1"/>
        <v>5.5555555555555562</v>
      </c>
      <c r="J55" s="9"/>
      <c r="K55" s="10"/>
    </row>
    <row r="56" spans="1:11" x14ac:dyDescent="0.2">
      <c r="A56" s="20" t="s">
        <v>59</v>
      </c>
      <c r="B56" s="20" t="s">
        <v>47</v>
      </c>
      <c r="C56" s="20" t="s">
        <v>11</v>
      </c>
      <c r="D56" s="20">
        <v>1</v>
      </c>
      <c r="E56" s="20">
        <v>550</v>
      </c>
      <c r="F56" s="20">
        <v>1</v>
      </c>
      <c r="G56" s="19">
        <f t="shared" si="3"/>
        <v>45.833333333333336</v>
      </c>
      <c r="H56" s="19">
        <f t="shared" si="4"/>
        <v>0.31828703703703703</v>
      </c>
      <c r="I56" s="19">
        <f t="shared" si="1"/>
        <v>3.8194444444444446</v>
      </c>
      <c r="J56" s="9"/>
      <c r="K56" s="10"/>
    </row>
    <row r="57" spans="1:11" x14ac:dyDescent="0.2">
      <c r="A57" s="20" t="s">
        <v>60</v>
      </c>
      <c r="B57" s="20" t="s">
        <v>47</v>
      </c>
      <c r="C57" s="20" t="s">
        <v>11</v>
      </c>
      <c r="D57" s="20">
        <v>1</v>
      </c>
      <c r="E57" s="20">
        <v>550</v>
      </c>
      <c r="F57" s="20">
        <v>1</v>
      </c>
      <c r="G57" s="19">
        <f t="shared" si="3"/>
        <v>45.833333333333336</v>
      </c>
      <c r="H57" s="19">
        <f t="shared" si="4"/>
        <v>0.31828703703703703</v>
      </c>
      <c r="I57" s="19">
        <f t="shared" si="1"/>
        <v>3.8194444444444446</v>
      </c>
    </row>
    <row r="58" spans="1:11" x14ac:dyDescent="0.2">
      <c r="A58" s="20" t="s">
        <v>61</v>
      </c>
      <c r="B58" s="20" t="s">
        <v>47</v>
      </c>
      <c r="C58" s="20" t="s">
        <v>11</v>
      </c>
      <c r="D58" s="20">
        <v>1</v>
      </c>
      <c r="E58" s="20">
        <v>550</v>
      </c>
      <c r="F58" s="20">
        <v>1</v>
      </c>
      <c r="G58" s="19">
        <f t="shared" si="3"/>
        <v>45.833333333333336</v>
      </c>
      <c r="H58" s="19">
        <f t="shared" si="4"/>
        <v>0.31828703703703703</v>
      </c>
      <c r="I58" s="19">
        <f t="shared" si="1"/>
        <v>3.8194444444444446</v>
      </c>
    </row>
    <row r="59" spans="1:11" x14ac:dyDescent="0.2">
      <c r="A59" s="20" t="s">
        <v>62</v>
      </c>
      <c r="B59" s="20" t="s">
        <v>47</v>
      </c>
      <c r="C59" s="20" t="s">
        <v>11</v>
      </c>
      <c r="D59" s="20">
        <v>1</v>
      </c>
      <c r="E59" s="20">
        <v>550</v>
      </c>
      <c r="F59" s="20">
        <v>1</v>
      </c>
      <c r="G59" s="19">
        <f t="shared" si="3"/>
        <v>45.833333333333336</v>
      </c>
      <c r="H59" s="19">
        <f t="shared" si="4"/>
        <v>0.31828703703703703</v>
      </c>
      <c r="I59" s="19">
        <f t="shared" si="1"/>
        <v>3.8194444444444446</v>
      </c>
    </row>
    <row r="60" spans="1:11" x14ac:dyDescent="0.2">
      <c r="A60" s="20" t="s">
        <v>63</v>
      </c>
      <c r="B60" s="20" t="s">
        <v>23</v>
      </c>
      <c r="C60" s="20" t="s">
        <v>11</v>
      </c>
      <c r="D60" s="20">
        <v>1</v>
      </c>
      <c r="E60" s="20">
        <v>600</v>
      </c>
      <c r="F60" s="20">
        <v>2</v>
      </c>
      <c r="G60" s="19">
        <f t="shared" si="3"/>
        <v>100</v>
      </c>
      <c r="H60" s="19">
        <f t="shared" si="4"/>
        <v>0.69444444444444442</v>
      </c>
      <c r="I60" s="19">
        <f t="shared" si="1"/>
        <v>8.3333333333333321</v>
      </c>
    </row>
    <row r="61" spans="1:11" x14ac:dyDescent="0.2">
      <c r="A61" s="20" t="s">
        <v>64</v>
      </c>
      <c r="B61" s="20" t="s">
        <v>47</v>
      </c>
      <c r="C61" s="20" t="s">
        <v>11</v>
      </c>
      <c r="D61" s="20">
        <v>3</v>
      </c>
      <c r="E61" s="20">
        <v>550</v>
      </c>
      <c r="F61" s="20">
        <v>1</v>
      </c>
      <c r="G61" s="19">
        <f t="shared" si="3"/>
        <v>137.5</v>
      </c>
      <c r="H61" s="19">
        <f t="shared" si="4"/>
        <v>0.95486111111111116</v>
      </c>
      <c r="I61" s="19">
        <f t="shared" si="1"/>
        <v>11.458333333333334</v>
      </c>
    </row>
    <row r="62" spans="1:11" x14ac:dyDescent="0.2">
      <c r="A62" s="20" t="s">
        <v>65</v>
      </c>
      <c r="B62" s="20" t="s">
        <v>47</v>
      </c>
      <c r="C62" s="20" t="s">
        <v>11</v>
      </c>
      <c r="D62" s="20">
        <v>1</v>
      </c>
      <c r="E62" s="20">
        <v>1500</v>
      </c>
      <c r="F62" s="20">
        <v>1</v>
      </c>
      <c r="G62" s="19">
        <f>(D62*E62*F62)/12</f>
        <v>125</v>
      </c>
      <c r="H62" s="19">
        <f t="shared" si="4"/>
        <v>0.86805555555555558</v>
      </c>
      <c r="I62" s="19">
        <f t="shared" si="1"/>
        <v>10.416666666666668</v>
      </c>
    </row>
    <row r="63" spans="1:11" x14ac:dyDescent="0.2">
      <c r="A63" s="12"/>
      <c r="B63" s="11"/>
      <c r="C63" s="11"/>
      <c r="D63" s="12"/>
      <c r="E63" s="12"/>
      <c r="F63" s="12"/>
      <c r="G63" s="13">
        <f>SUM(G29:G62)</f>
        <v>4750.8633333333319</v>
      </c>
      <c r="H63" s="13">
        <f>SUM(H29:H62)</f>
        <v>32.992106481481486</v>
      </c>
      <c r="I63" s="13">
        <f t="shared" si="1"/>
        <v>395.90527777777783</v>
      </c>
    </row>
    <row r="64" spans="1:11" x14ac:dyDescent="0.2">
      <c r="A64" s="3"/>
      <c r="B64" s="4"/>
      <c r="C64" s="4"/>
      <c r="D64" s="3"/>
      <c r="E64" s="21"/>
      <c r="F64" s="21"/>
      <c r="G64" s="21"/>
    </row>
    <row r="65" spans="1:7" x14ac:dyDescent="0.2">
      <c r="A65" s="3"/>
      <c r="B65" s="4"/>
      <c r="C65" s="4"/>
      <c r="D65" s="3"/>
      <c r="E65" s="3"/>
      <c r="F65" s="3"/>
      <c r="G65" s="3"/>
    </row>
    <row r="66" spans="1:7" x14ac:dyDescent="0.2">
      <c r="A66" s="3"/>
      <c r="B66" s="4"/>
      <c r="C66" s="4"/>
      <c r="D66" s="3"/>
      <c r="E66" s="3"/>
      <c r="F66" s="3"/>
      <c r="G66" s="3"/>
    </row>
    <row r="67" spans="1:7" x14ac:dyDescent="0.2">
      <c r="A67" s="3"/>
      <c r="B67" s="4"/>
      <c r="C67" s="4"/>
      <c r="D67" s="3"/>
      <c r="E67" s="3"/>
      <c r="F67" s="3"/>
      <c r="G67" s="3"/>
    </row>
    <row r="68" spans="1:7" x14ac:dyDescent="0.2">
      <c r="A68" s="3"/>
      <c r="B68" s="4"/>
      <c r="C68" s="4"/>
      <c r="D68" s="3"/>
      <c r="E68" s="3"/>
      <c r="F68" s="3"/>
      <c r="G68" s="3"/>
    </row>
    <row r="69" spans="1:7" x14ac:dyDescent="0.2">
      <c r="A69" s="3"/>
      <c r="B69" s="4"/>
      <c r="C69" s="4"/>
      <c r="D69" s="3"/>
      <c r="E69" s="3"/>
      <c r="F69" s="3"/>
      <c r="G69" s="3"/>
    </row>
    <row r="70" spans="1:7" x14ac:dyDescent="0.2">
      <c r="A70" s="3"/>
      <c r="B70" s="4"/>
      <c r="C70" s="4"/>
      <c r="D70" s="3"/>
      <c r="E70" s="3"/>
      <c r="F70" s="3"/>
      <c r="G70" s="3"/>
    </row>
    <row r="71" spans="1:7" x14ac:dyDescent="0.2">
      <c r="A71" s="3"/>
      <c r="B71" s="4"/>
      <c r="C71" s="4"/>
      <c r="D71" s="3"/>
      <c r="E71" s="3"/>
      <c r="F71" s="3"/>
      <c r="G71" s="3"/>
    </row>
    <row r="72" spans="1:7" x14ac:dyDescent="0.2">
      <c r="A72" s="3"/>
      <c r="B72" s="4"/>
      <c r="C72" s="4"/>
      <c r="D72" s="3"/>
      <c r="E72" s="3"/>
      <c r="F72" s="3"/>
      <c r="G72" s="3"/>
    </row>
    <row r="73" spans="1:7" x14ac:dyDescent="0.2">
      <c r="A73" s="3"/>
      <c r="B73" s="4"/>
      <c r="C73" s="4"/>
      <c r="D73" s="3"/>
      <c r="E73" s="3"/>
      <c r="F73" s="3"/>
      <c r="G73" s="3"/>
    </row>
    <row r="74" spans="1:7" x14ac:dyDescent="0.2">
      <c r="A74" s="3"/>
      <c r="B74" s="4"/>
      <c r="C74" s="4"/>
      <c r="D74" s="3"/>
      <c r="E74" s="3"/>
      <c r="F74" s="3"/>
      <c r="G74" s="3"/>
    </row>
    <row r="75" spans="1:7" x14ac:dyDescent="0.2">
      <c r="A75" s="3"/>
      <c r="B75" s="4"/>
      <c r="C75" s="4"/>
      <c r="D75" s="3"/>
      <c r="E75" s="3"/>
      <c r="F75" s="3"/>
      <c r="G75" s="3"/>
    </row>
    <row r="76" spans="1:7" x14ac:dyDescent="0.2">
      <c r="A76" s="3"/>
      <c r="B76" s="4"/>
      <c r="C76" s="4"/>
      <c r="D76" s="3"/>
      <c r="E76" s="3"/>
      <c r="F76" s="3"/>
      <c r="G76" s="3"/>
    </row>
    <row r="77" spans="1:7" x14ac:dyDescent="0.2">
      <c r="A77" s="3"/>
      <c r="B77" s="4"/>
      <c r="C77" s="4"/>
      <c r="D77" s="3"/>
      <c r="E77" s="3"/>
      <c r="F77" s="3"/>
      <c r="G77" s="3"/>
    </row>
    <row r="78" spans="1:7" x14ac:dyDescent="0.2">
      <c r="A78" s="3"/>
      <c r="B78" s="4"/>
      <c r="C78" s="4"/>
      <c r="D78" s="3"/>
      <c r="E78" s="3"/>
      <c r="F78" s="3"/>
      <c r="G78" s="3"/>
    </row>
    <row r="79" spans="1:7" x14ac:dyDescent="0.2">
      <c r="A79" s="3"/>
      <c r="B79" s="4"/>
      <c r="C79" s="4"/>
      <c r="D79" s="3"/>
      <c r="E79" s="3"/>
      <c r="F79" s="3"/>
      <c r="G79" s="3"/>
    </row>
    <row r="80" spans="1:7" x14ac:dyDescent="0.2">
      <c r="A80" s="3"/>
      <c r="B80" s="4"/>
      <c r="C80" s="4"/>
      <c r="D80" s="3"/>
      <c r="E80" s="3"/>
      <c r="F80" s="3"/>
      <c r="G80" s="3"/>
    </row>
    <row r="81" spans="1:7" x14ac:dyDescent="0.2">
      <c r="A81" s="3"/>
      <c r="B81" s="4"/>
      <c r="C81" s="4"/>
      <c r="D81" s="3"/>
      <c r="E81" s="3"/>
      <c r="F81" s="3"/>
      <c r="G81" s="3"/>
    </row>
    <row r="82" spans="1:7" x14ac:dyDescent="0.2">
      <c r="A82" s="3"/>
      <c r="B82" s="4"/>
      <c r="C82" s="4"/>
      <c r="D82" s="3"/>
      <c r="E82" s="3"/>
      <c r="F82" s="3"/>
      <c r="G82" s="3"/>
    </row>
    <row r="83" spans="1:7" x14ac:dyDescent="0.2">
      <c r="A83" s="3"/>
      <c r="B83" s="4"/>
      <c r="C83" s="4"/>
      <c r="D83" s="3"/>
      <c r="E83" s="3"/>
      <c r="F83" s="3"/>
      <c r="G83" s="3"/>
    </row>
    <row r="84" spans="1:7" x14ac:dyDescent="0.2">
      <c r="A84" s="3"/>
      <c r="B84" s="4"/>
      <c r="C84" s="4"/>
      <c r="D84" s="3"/>
      <c r="E84" s="3"/>
      <c r="F84" s="3"/>
      <c r="G84" s="3"/>
    </row>
    <row r="85" spans="1:7" x14ac:dyDescent="0.2">
      <c r="A85" s="3"/>
      <c r="B85" s="4"/>
      <c r="C85" s="4"/>
      <c r="D85" s="3"/>
      <c r="E85" s="3"/>
      <c r="F85" s="3"/>
      <c r="G85" s="3"/>
    </row>
    <row r="86" spans="1:7" x14ac:dyDescent="0.2">
      <c r="A86" s="3"/>
      <c r="B86" s="4"/>
      <c r="C86" s="4"/>
      <c r="D86" s="3"/>
      <c r="E86" s="3"/>
      <c r="F86" s="3"/>
      <c r="G86" s="3"/>
    </row>
    <row r="87" spans="1:7" x14ac:dyDescent="0.2">
      <c r="A87" s="3"/>
      <c r="B87" s="4"/>
      <c r="C87" s="4"/>
      <c r="D87" s="3"/>
      <c r="E87" s="3"/>
      <c r="F87" s="3"/>
      <c r="G87" s="3"/>
    </row>
    <row r="88" spans="1:7" x14ac:dyDescent="0.2">
      <c r="A88" s="3"/>
      <c r="B88" s="4"/>
      <c r="C88" s="4"/>
      <c r="D88" s="3"/>
      <c r="E88" s="3"/>
      <c r="F88" s="3"/>
      <c r="G88" s="3"/>
    </row>
    <row r="89" spans="1:7" x14ac:dyDescent="0.2">
      <c r="A89" s="3"/>
      <c r="B89" s="4"/>
      <c r="C89" s="4"/>
      <c r="D89" s="3"/>
      <c r="E89" s="3"/>
      <c r="F89" s="3"/>
      <c r="G89" s="3"/>
    </row>
    <row r="90" spans="1:7" x14ac:dyDescent="0.2">
      <c r="A90" s="3"/>
      <c r="B90" s="4"/>
      <c r="C90" s="4"/>
      <c r="D90" s="3"/>
      <c r="E90" s="3"/>
      <c r="F90" s="3"/>
      <c r="G90" s="3"/>
    </row>
    <row r="91" spans="1:7" x14ac:dyDescent="0.2">
      <c r="A91" s="3"/>
      <c r="B91" s="4"/>
      <c r="C91" s="4"/>
      <c r="D91" s="3"/>
      <c r="E91" s="3"/>
      <c r="F91" s="3"/>
      <c r="G91" s="3"/>
    </row>
    <row r="92" spans="1:7" x14ac:dyDescent="0.2">
      <c r="A92" s="3"/>
      <c r="B92" s="4"/>
      <c r="C92" s="4"/>
      <c r="D92" s="3"/>
      <c r="E92" s="3"/>
      <c r="F92" s="3"/>
      <c r="G92" s="3"/>
    </row>
    <row r="93" spans="1:7" x14ac:dyDescent="0.2">
      <c r="A93" s="3"/>
      <c r="B93" s="4"/>
      <c r="C93" s="4"/>
      <c r="D93" s="3"/>
      <c r="E93" s="3"/>
      <c r="F93" s="3"/>
      <c r="G93" s="3"/>
    </row>
    <row r="94" spans="1:7" x14ac:dyDescent="0.2">
      <c r="A94" s="3"/>
      <c r="B94" s="4"/>
      <c r="C94" s="4"/>
      <c r="D94" s="3"/>
      <c r="E94" s="3"/>
      <c r="F94" s="3"/>
      <c r="G94" s="3"/>
    </row>
    <row r="95" spans="1:7" x14ac:dyDescent="0.2">
      <c r="A95" s="3"/>
      <c r="B95" s="4"/>
      <c r="C95" s="4"/>
      <c r="D95" s="3"/>
      <c r="E95" s="3"/>
      <c r="F95" s="3"/>
      <c r="G95" s="3"/>
    </row>
    <row r="96" spans="1:7" x14ac:dyDescent="0.2">
      <c r="A96" s="3"/>
      <c r="B96" s="4"/>
      <c r="C96" s="4"/>
      <c r="D96" s="3"/>
      <c r="E96" s="3"/>
      <c r="F96" s="3"/>
      <c r="G96" s="3"/>
    </row>
    <row r="97" spans="1:7" x14ac:dyDescent="0.2">
      <c r="A97" s="3"/>
      <c r="B97" s="4"/>
      <c r="C97" s="4"/>
      <c r="D97" s="3"/>
      <c r="E97" s="3"/>
      <c r="F97" s="3"/>
      <c r="G97" s="3"/>
    </row>
    <row r="98" spans="1:7" x14ac:dyDescent="0.2">
      <c r="A98" s="3"/>
      <c r="B98" s="4"/>
      <c r="C98" s="4"/>
      <c r="D98" s="3"/>
      <c r="E98" s="3"/>
      <c r="F98" s="3"/>
      <c r="G98" s="3"/>
    </row>
    <row r="99" spans="1:7" x14ac:dyDescent="0.2">
      <c r="A99" s="3"/>
      <c r="B99" s="4"/>
      <c r="C99" s="4"/>
      <c r="D99" s="3"/>
      <c r="E99" s="3"/>
      <c r="F99" s="3"/>
      <c r="G99" s="3"/>
    </row>
    <row r="100" spans="1:7" x14ac:dyDescent="0.2">
      <c r="A100" s="3"/>
      <c r="B100" s="4"/>
      <c r="C100" s="4"/>
      <c r="D100" s="3"/>
      <c r="E100" s="3"/>
      <c r="F100" s="3"/>
      <c r="G100" s="3"/>
    </row>
    <row r="101" spans="1:7" x14ac:dyDescent="0.2">
      <c r="A101" s="3"/>
      <c r="B101" s="4"/>
      <c r="C101" s="4"/>
      <c r="D101" s="3"/>
      <c r="E101" s="3"/>
      <c r="F101" s="3"/>
      <c r="G101" s="3"/>
    </row>
    <row r="102" spans="1:7" x14ac:dyDescent="0.2">
      <c r="A102" s="3"/>
      <c r="B102" s="4"/>
      <c r="C102" s="4"/>
      <c r="D102" s="3"/>
      <c r="E102" s="3"/>
      <c r="F102" s="3"/>
      <c r="G102" s="3"/>
    </row>
    <row r="103" spans="1:7" x14ac:dyDescent="0.2">
      <c r="A103" s="3"/>
      <c r="B103" s="4"/>
      <c r="C103" s="4"/>
      <c r="D103" s="3"/>
      <c r="E103" s="3"/>
      <c r="F103" s="3"/>
      <c r="G103" s="3"/>
    </row>
    <row r="104" spans="1:7" x14ac:dyDescent="0.2">
      <c r="A104" s="3"/>
      <c r="B104" s="4"/>
      <c r="C104" s="4"/>
      <c r="D104" s="3"/>
      <c r="E104" s="3"/>
      <c r="F104" s="3"/>
      <c r="G104" s="3"/>
    </row>
    <row r="105" spans="1:7" x14ac:dyDescent="0.2">
      <c r="A105" s="3"/>
      <c r="B105" s="4"/>
      <c r="C105" s="4"/>
      <c r="D105" s="3"/>
      <c r="E105" s="3"/>
      <c r="F105" s="3"/>
      <c r="G105" s="3"/>
    </row>
    <row r="106" spans="1:7" x14ac:dyDescent="0.2">
      <c r="A106" s="3"/>
      <c r="B106" s="4"/>
      <c r="C106" s="4"/>
      <c r="D106" s="3"/>
      <c r="E106" s="3"/>
      <c r="F106" s="3"/>
      <c r="G106" s="3"/>
    </row>
    <row r="107" spans="1:7" x14ac:dyDescent="0.2">
      <c r="A107" s="3"/>
      <c r="B107" s="4"/>
      <c r="C107" s="4"/>
      <c r="D107" s="3"/>
      <c r="E107" s="3"/>
      <c r="F107" s="3"/>
      <c r="G107" s="3"/>
    </row>
    <row r="108" spans="1:7" x14ac:dyDescent="0.2">
      <c r="A108" s="3"/>
      <c r="B108" s="4"/>
      <c r="C108" s="4"/>
      <c r="D108" s="3"/>
      <c r="E108" s="3"/>
      <c r="F108" s="3"/>
      <c r="G108" s="3"/>
    </row>
    <row r="109" spans="1:7" x14ac:dyDescent="0.2">
      <c r="A109" s="3"/>
      <c r="B109" s="4"/>
      <c r="C109" s="4"/>
      <c r="D109" s="3"/>
      <c r="E109" s="3"/>
      <c r="F109" s="3"/>
      <c r="G109" s="3"/>
    </row>
    <row r="110" spans="1:7" x14ac:dyDescent="0.2">
      <c r="A110" s="3"/>
      <c r="B110" s="4"/>
      <c r="C110" s="4"/>
      <c r="D110" s="3"/>
      <c r="E110" s="3"/>
      <c r="F110" s="3"/>
      <c r="G110" s="3"/>
    </row>
    <row r="111" spans="1:7" x14ac:dyDescent="0.2">
      <c r="A111" s="3"/>
      <c r="B111" s="4"/>
      <c r="C111" s="4"/>
      <c r="D111" s="3"/>
      <c r="E111" s="3"/>
      <c r="F111" s="3"/>
      <c r="G111" s="3"/>
    </row>
    <row r="112" spans="1:7" x14ac:dyDescent="0.2">
      <c r="A112" s="3"/>
      <c r="B112" s="4"/>
      <c r="C112" s="4"/>
      <c r="D112" s="3"/>
      <c r="E112" s="3"/>
      <c r="F112" s="3"/>
      <c r="G112" s="3"/>
    </row>
    <row r="113" spans="1:7" x14ac:dyDescent="0.2">
      <c r="A113" s="3"/>
      <c r="B113" s="4"/>
      <c r="C113" s="4"/>
      <c r="D113" s="3"/>
      <c r="E113" s="3"/>
      <c r="F113" s="3"/>
      <c r="G113" s="3"/>
    </row>
    <row r="114" spans="1:7" x14ac:dyDescent="0.2">
      <c r="A114" s="3"/>
      <c r="B114" s="4"/>
      <c r="C114" s="4"/>
      <c r="D114" s="3"/>
      <c r="E114" s="3"/>
      <c r="F114" s="3"/>
      <c r="G114" s="3"/>
    </row>
    <row r="115" spans="1:7" x14ac:dyDescent="0.2">
      <c r="A115" s="3"/>
      <c r="B115" s="4"/>
      <c r="C115" s="4"/>
      <c r="D115" s="3"/>
      <c r="E115" s="3"/>
      <c r="F115" s="3"/>
      <c r="G115" s="3"/>
    </row>
    <row r="116" spans="1:7" x14ac:dyDescent="0.2">
      <c r="A116" s="3"/>
      <c r="B116" s="4"/>
      <c r="C116" s="4"/>
      <c r="D116" s="3"/>
      <c r="E116" s="3"/>
      <c r="F116" s="3"/>
      <c r="G116" s="3"/>
    </row>
    <row r="117" spans="1:7" x14ac:dyDescent="0.2">
      <c r="A117" s="3"/>
      <c r="B117" s="4"/>
      <c r="C117" s="4"/>
      <c r="D117" s="3"/>
      <c r="E117" s="3"/>
      <c r="F117" s="3"/>
      <c r="G117" s="3"/>
    </row>
    <row r="118" spans="1:7" x14ac:dyDescent="0.2">
      <c r="A118" s="3"/>
      <c r="B118" s="4"/>
      <c r="C118" s="4"/>
      <c r="D118" s="3"/>
      <c r="E118" s="3"/>
      <c r="F118" s="3"/>
      <c r="G118" s="3"/>
    </row>
    <row r="119" spans="1:7" x14ac:dyDescent="0.2">
      <c r="A119" s="3"/>
      <c r="B119" s="4"/>
      <c r="C119" s="4"/>
      <c r="D119" s="3"/>
      <c r="E119" s="3"/>
      <c r="F119" s="3"/>
      <c r="G119" s="3"/>
    </row>
    <row r="120" spans="1:7" x14ac:dyDescent="0.2">
      <c r="A120" s="3"/>
      <c r="B120" s="4"/>
      <c r="C120" s="4"/>
      <c r="D120" s="3"/>
      <c r="E120" s="3"/>
      <c r="F120" s="3"/>
      <c r="G120" s="3"/>
    </row>
    <row r="121" spans="1:7" x14ac:dyDescent="0.2">
      <c r="A121" s="3"/>
      <c r="B121" s="4"/>
      <c r="C121" s="4"/>
      <c r="D121" s="3"/>
      <c r="E121" s="3"/>
      <c r="F121" s="3"/>
      <c r="G121" s="3"/>
    </row>
    <row r="122" spans="1:7" x14ac:dyDescent="0.2">
      <c r="A122" s="3"/>
      <c r="B122" s="4"/>
      <c r="C122" s="4"/>
      <c r="D122" s="3"/>
      <c r="E122" s="3"/>
      <c r="F122" s="3"/>
      <c r="G122" s="3"/>
    </row>
    <row r="123" spans="1:7" x14ac:dyDescent="0.2">
      <c r="A123" s="3"/>
      <c r="B123" s="4"/>
      <c r="C123" s="4"/>
      <c r="D123" s="3"/>
      <c r="E123" s="3"/>
      <c r="F123" s="3"/>
      <c r="G123" s="3"/>
    </row>
    <row r="124" spans="1:7" x14ac:dyDescent="0.2">
      <c r="A124" s="3"/>
      <c r="B124" s="4"/>
      <c r="C124" s="4"/>
      <c r="D124" s="3"/>
      <c r="E124" s="3"/>
      <c r="F124" s="3"/>
      <c r="G124" s="3"/>
    </row>
    <row r="125" spans="1:7" x14ac:dyDescent="0.2">
      <c r="A125" s="3"/>
      <c r="B125" s="4"/>
      <c r="C125" s="4"/>
      <c r="D125" s="3"/>
      <c r="E125" s="3"/>
      <c r="F125" s="3"/>
      <c r="G125" s="3"/>
    </row>
    <row r="126" spans="1:7" x14ac:dyDescent="0.2">
      <c r="A126" s="3"/>
      <c r="B126" s="4"/>
      <c r="C126" s="4"/>
      <c r="D126" s="3"/>
      <c r="E126" s="3"/>
      <c r="F126" s="3"/>
      <c r="G126" s="3"/>
    </row>
    <row r="127" spans="1:7" x14ac:dyDescent="0.2">
      <c r="A127" s="3"/>
      <c r="B127" s="4"/>
      <c r="C127" s="4"/>
      <c r="D127" s="3"/>
      <c r="E127" s="3"/>
      <c r="F127" s="3"/>
      <c r="G127" s="3"/>
    </row>
    <row r="128" spans="1:7" x14ac:dyDescent="0.2">
      <c r="A128" s="3"/>
      <c r="B128" s="4"/>
      <c r="C128" s="4"/>
      <c r="D128" s="3"/>
      <c r="E128" s="3"/>
      <c r="F128" s="3"/>
      <c r="G128" s="3"/>
    </row>
    <row r="129" spans="1:7" x14ac:dyDescent="0.2">
      <c r="A129" s="3"/>
      <c r="B129" s="4"/>
      <c r="C129" s="4"/>
      <c r="D129" s="3"/>
      <c r="E129" s="3"/>
      <c r="F129" s="3"/>
      <c r="G129" s="3"/>
    </row>
    <row r="130" spans="1:7" x14ac:dyDescent="0.2">
      <c r="A130" s="3"/>
      <c r="B130" s="4"/>
      <c r="C130" s="4"/>
      <c r="D130" s="3"/>
      <c r="E130" s="3"/>
      <c r="F130" s="3"/>
      <c r="G130" s="3"/>
    </row>
    <row r="131" spans="1:7" x14ac:dyDescent="0.2">
      <c r="A131" s="3"/>
      <c r="B131" s="4"/>
      <c r="C131" s="4"/>
      <c r="D131" s="3"/>
      <c r="E131" s="3"/>
      <c r="F131" s="3"/>
      <c r="G131" s="3"/>
    </row>
    <row r="132" spans="1:7" x14ac:dyDescent="0.2">
      <c r="A132" s="3"/>
      <c r="B132" s="4"/>
      <c r="C132" s="4"/>
      <c r="D132" s="3"/>
      <c r="E132" s="3"/>
      <c r="F132" s="3"/>
      <c r="G132" s="3"/>
    </row>
    <row r="133" spans="1:7" x14ac:dyDescent="0.2">
      <c r="A133" s="3"/>
      <c r="B133" s="4"/>
      <c r="C133" s="4"/>
      <c r="D133" s="3"/>
      <c r="E133" s="3"/>
      <c r="F133" s="3"/>
      <c r="G133" s="3"/>
    </row>
    <row r="134" spans="1:7" x14ac:dyDescent="0.2">
      <c r="A134" s="3"/>
      <c r="B134" s="4"/>
      <c r="C134" s="4"/>
      <c r="D134" s="3"/>
      <c r="E134" s="3"/>
      <c r="F134" s="3"/>
      <c r="G134" s="3"/>
    </row>
    <row r="135" spans="1:7" x14ac:dyDescent="0.2">
      <c r="A135" s="3"/>
      <c r="B135" s="4"/>
      <c r="C135" s="4"/>
      <c r="D135" s="3"/>
      <c r="E135" s="3"/>
      <c r="F135" s="3"/>
      <c r="G135" s="3"/>
    </row>
    <row r="136" spans="1:7" x14ac:dyDescent="0.2">
      <c r="A136" s="3"/>
      <c r="B136" s="4"/>
      <c r="C136" s="4"/>
      <c r="D136" s="3"/>
      <c r="E136" s="3"/>
      <c r="F136" s="3"/>
      <c r="G136" s="3"/>
    </row>
    <row r="137" spans="1:7" x14ac:dyDescent="0.2">
      <c r="A137" s="3"/>
      <c r="B137" s="4"/>
      <c r="C137" s="4"/>
      <c r="D137" s="3"/>
      <c r="E137" s="3"/>
      <c r="F137" s="3"/>
      <c r="G137" s="3"/>
    </row>
    <row r="138" spans="1:7" x14ac:dyDescent="0.2">
      <c r="A138" s="3"/>
      <c r="B138" s="4"/>
      <c r="C138" s="4"/>
      <c r="D138" s="3"/>
      <c r="E138" s="3"/>
      <c r="F138" s="3"/>
      <c r="G138" s="3"/>
    </row>
    <row r="139" spans="1:7" x14ac:dyDescent="0.2">
      <c r="A139" s="3"/>
      <c r="B139" s="4"/>
      <c r="C139" s="4"/>
      <c r="D139" s="3"/>
      <c r="E139" s="3"/>
      <c r="F139" s="3"/>
      <c r="G139" s="3"/>
    </row>
    <row r="140" spans="1:7" x14ac:dyDescent="0.2">
      <c r="A140" s="3"/>
      <c r="B140" s="4"/>
      <c r="C140" s="4"/>
      <c r="D140" s="3"/>
      <c r="E140" s="3"/>
      <c r="F140" s="3"/>
      <c r="G140" s="3"/>
    </row>
    <row r="141" spans="1:7" x14ac:dyDescent="0.2">
      <c r="A141" s="3"/>
      <c r="B141" s="4"/>
      <c r="C141" s="4"/>
      <c r="D141" s="3"/>
      <c r="E141" s="3"/>
      <c r="F141" s="3"/>
      <c r="G141" s="3"/>
    </row>
    <row r="142" spans="1:7" x14ac:dyDescent="0.2">
      <c r="A142" s="3"/>
      <c r="B142" s="4"/>
      <c r="C142" s="4"/>
      <c r="D142" s="3"/>
      <c r="E142" s="3"/>
      <c r="F142" s="3"/>
      <c r="G142" s="3"/>
    </row>
    <row r="143" spans="1:7" x14ac:dyDescent="0.2">
      <c r="A143" s="3"/>
      <c r="B143" s="4"/>
      <c r="C143" s="4"/>
      <c r="D143" s="3"/>
      <c r="E143" s="3"/>
      <c r="F143" s="3"/>
      <c r="G143" s="3"/>
    </row>
    <row r="144" spans="1:7" x14ac:dyDescent="0.2">
      <c r="A144" s="3"/>
      <c r="B144" s="4"/>
      <c r="C144" s="4"/>
      <c r="D144" s="3"/>
      <c r="E144" s="3"/>
      <c r="F144" s="3"/>
      <c r="G144" s="3"/>
    </row>
    <row r="145" spans="1:7" x14ac:dyDescent="0.2">
      <c r="A145" s="3"/>
      <c r="B145" s="4"/>
      <c r="C145" s="4"/>
      <c r="D145" s="3"/>
      <c r="E145" s="3"/>
      <c r="F145" s="3"/>
      <c r="G145" s="3"/>
    </row>
    <row r="146" spans="1:7" x14ac:dyDescent="0.2">
      <c r="A146" s="3"/>
      <c r="B146" s="4"/>
      <c r="C146" s="4"/>
      <c r="D146" s="3"/>
      <c r="E146" s="3"/>
      <c r="F146" s="3"/>
      <c r="G146" s="3"/>
    </row>
    <row r="147" spans="1:7" x14ac:dyDescent="0.2">
      <c r="A147" s="3"/>
      <c r="B147" s="4"/>
      <c r="C147" s="4"/>
      <c r="D147" s="3"/>
      <c r="E147" s="3"/>
      <c r="F147" s="3"/>
      <c r="G147" s="3"/>
    </row>
    <row r="148" spans="1:7" x14ac:dyDescent="0.2">
      <c r="A148" s="3"/>
      <c r="B148" s="4"/>
      <c r="C148" s="4"/>
      <c r="D148" s="3"/>
      <c r="E148" s="3"/>
      <c r="F148" s="3"/>
      <c r="G148" s="3"/>
    </row>
    <row r="149" spans="1:7" x14ac:dyDescent="0.2">
      <c r="A149" s="3"/>
      <c r="B149" s="4"/>
      <c r="C149" s="4"/>
      <c r="D149" s="3"/>
      <c r="E149" s="3"/>
      <c r="F149" s="3"/>
      <c r="G149" s="3"/>
    </row>
    <row r="150" spans="1:7" x14ac:dyDescent="0.2">
      <c r="A150" s="3"/>
      <c r="B150" s="4"/>
      <c r="C150" s="4"/>
      <c r="D150" s="3"/>
      <c r="E150" s="3"/>
      <c r="F150" s="3"/>
      <c r="G150" s="3"/>
    </row>
    <row r="151" spans="1:7" x14ac:dyDescent="0.2">
      <c r="A151" s="3"/>
      <c r="B151" s="4"/>
      <c r="C151" s="4"/>
      <c r="D151" s="3"/>
      <c r="E151" s="3"/>
      <c r="F151" s="3"/>
      <c r="G151" s="3"/>
    </row>
    <row r="152" spans="1:7" x14ac:dyDescent="0.2">
      <c r="A152" s="3"/>
      <c r="B152" s="4"/>
      <c r="C152" s="4"/>
      <c r="D152" s="3"/>
      <c r="E152" s="3"/>
      <c r="F152" s="3"/>
      <c r="G152" s="3"/>
    </row>
    <row r="153" spans="1:7" x14ac:dyDescent="0.2">
      <c r="A153" s="3"/>
      <c r="B153" s="4"/>
      <c r="C153" s="4"/>
      <c r="D153" s="3"/>
      <c r="E153" s="3"/>
      <c r="F153" s="3"/>
      <c r="G153" s="3"/>
    </row>
    <row r="154" spans="1:7" x14ac:dyDescent="0.2">
      <c r="A154" s="3"/>
      <c r="B154" s="4"/>
      <c r="C154" s="4"/>
      <c r="D154" s="3"/>
      <c r="E154" s="3"/>
      <c r="F154" s="3"/>
      <c r="G154" s="3"/>
    </row>
    <row r="155" spans="1:7" x14ac:dyDescent="0.2">
      <c r="A155" s="3"/>
      <c r="B155" s="4"/>
      <c r="C155" s="4"/>
      <c r="D155" s="3"/>
      <c r="E155" s="3"/>
      <c r="F155" s="3"/>
      <c r="G155" s="3"/>
    </row>
    <row r="156" spans="1:7" x14ac:dyDescent="0.2">
      <c r="A156" s="3"/>
      <c r="B156" s="4"/>
      <c r="C156" s="4"/>
      <c r="D156" s="3"/>
      <c r="E156" s="3"/>
      <c r="F156" s="3"/>
      <c r="G156" s="3"/>
    </row>
    <row r="157" spans="1:7" x14ac:dyDescent="0.2">
      <c r="A157" s="3"/>
      <c r="B157" s="4"/>
      <c r="C157" s="4"/>
      <c r="D157" s="3"/>
      <c r="E157" s="3"/>
      <c r="F157" s="3"/>
      <c r="G157" s="3"/>
    </row>
    <row r="158" spans="1:7" x14ac:dyDescent="0.2">
      <c r="A158" s="3"/>
      <c r="B158" s="4"/>
      <c r="C158" s="4"/>
      <c r="D158" s="3"/>
      <c r="E158" s="3"/>
      <c r="F158" s="3"/>
      <c r="G158" s="3"/>
    </row>
    <row r="159" spans="1:7" x14ac:dyDescent="0.2">
      <c r="A159" s="3"/>
      <c r="B159" s="4"/>
      <c r="C159" s="4"/>
      <c r="D159" s="3"/>
      <c r="E159" s="3"/>
      <c r="F159" s="3"/>
      <c r="G159" s="3"/>
    </row>
    <row r="160" spans="1:7" x14ac:dyDescent="0.2">
      <c r="A160" s="3"/>
      <c r="B160" s="4"/>
      <c r="C160" s="4"/>
      <c r="D160" s="3"/>
      <c r="E160" s="3"/>
      <c r="F160" s="3"/>
      <c r="G160" s="3"/>
    </row>
    <row r="161" spans="1:7" x14ac:dyDescent="0.2">
      <c r="A161" s="3"/>
      <c r="B161" s="4"/>
      <c r="C161" s="4"/>
      <c r="D161" s="3"/>
      <c r="E161" s="3"/>
      <c r="F161" s="3"/>
      <c r="G161" s="3"/>
    </row>
    <row r="162" spans="1:7" x14ac:dyDescent="0.2">
      <c r="A162" s="3"/>
      <c r="B162" s="4"/>
      <c r="C162" s="4"/>
      <c r="D162" s="3"/>
      <c r="E162" s="3"/>
      <c r="F162" s="3"/>
      <c r="G162" s="3"/>
    </row>
    <row r="163" spans="1:7" x14ac:dyDescent="0.2">
      <c r="A163" s="3"/>
      <c r="B163" s="4"/>
      <c r="C163" s="4"/>
      <c r="D163" s="3"/>
      <c r="E163" s="3"/>
      <c r="F163" s="3"/>
      <c r="G163" s="3"/>
    </row>
    <row r="164" spans="1:7" x14ac:dyDescent="0.2">
      <c r="A164" s="3"/>
      <c r="B164" s="4"/>
      <c r="C164" s="4"/>
      <c r="D164" s="3"/>
      <c r="E164" s="3"/>
      <c r="F164" s="3"/>
      <c r="G164" s="3"/>
    </row>
    <row r="165" spans="1:7" x14ac:dyDescent="0.2">
      <c r="A165" s="3"/>
      <c r="B165" s="4"/>
      <c r="C165" s="4"/>
      <c r="D165" s="3"/>
      <c r="E165" s="3"/>
      <c r="F165" s="3"/>
      <c r="G165" s="3"/>
    </row>
    <row r="166" spans="1:7" x14ac:dyDescent="0.2">
      <c r="A166" s="3"/>
      <c r="B166" s="4"/>
      <c r="C166" s="4"/>
      <c r="D166" s="3"/>
      <c r="E166" s="3"/>
      <c r="F166" s="3"/>
      <c r="G166" s="3"/>
    </row>
    <row r="167" spans="1:7" x14ac:dyDescent="0.2">
      <c r="A167" s="3"/>
      <c r="B167" s="4"/>
      <c r="C167" s="4"/>
      <c r="D167" s="3"/>
      <c r="E167" s="3"/>
      <c r="F167" s="3"/>
      <c r="G167" s="3"/>
    </row>
    <row r="168" spans="1:7" x14ac:dyDescent="0.2">
      <c r="A168" s="3"/>
      <c r="B168" s="4"/>
      <c r="C168" s="4"/>
      <c r="D168" s="3"/>
      <c r="E168" s="3"/>
      <c r="F168" s="3"/>
      <c r="G168" s="3"/>
    </row>
    <row r="169" spans="1:7" x14ac:dyDescent="0.2">
      <c r="A169" s="3"/>
      <c r="B169" s="4"/>
      <c r="C169" s="4"/>
      <c r="D169" s="3"/>
      <c r="E169" s="3"/>
      <c r="F169" s="3"/>
      <c r="G169" s="3"/>
    </row>
    <row r="170" spans="1:7" x14ac:dyDescent="0.2">
      <c r="A170" s="3"/>
      <c r="B170" s="4"/>
      <c r="C170" s="4"/>
      <c r="D170" s="3"/>
      <c r="E170" s="3"/>
      <c r="F170" s="3"/>
      <c r="G170" s="3"/>
    </row>
    <row r="171" spans="1:7" x14ac:dyDescent="0.2">
      <c r="A171" s="3"/>
      <c r="B171" s="4"/>
      <c r="C171" s="4"/>
      <c r="D171" s="3"/>
      <c r="E171" s="3"/>
      <c r="F171" s="3"/>
      <c r="G171" s="3"/>
    </row>
    <row r="172" spans="1:7" x14ac:dyDescent="0.2">
      <c r="A172" s="3"/>
      <c r="B172" s="4"/>
      <c r="C172" s="4"/>
      <c r="D172" s="3"/>
      <c r="E172" s="3"/>
      <c r="F172" s="3"/>
      <c r="G172" s="3"/>
    </row>
    <row r="173" spans="1:7" x14ac:dyDescent="0.2">
      <c r="A173" s="3"/>
      <c r="B173" s="4"/>
      <c r="C173" s="4"/>
      <c r="D173" s="3"/>
      <c r="E173" s="3"/>
      <c r="F173" s="3"/>
      <c r="G173" s="3"/>
    </row>
    <row r="174" spans="1:7" x14ac:dyDescent="0.2">
      <c r="A174" s="3"/>
      <c r="B174" s="4"/>
      <c r="C174" s="4"/>
      <c r="D174" s="3"/>
      <c r="E174" s="3"/>
      <c r="F174" s="3"/>
      <c r="G174" s="3"/>
    </row>
    <row r="175" spans="1:7" x14ac:dyDescent="0.2">
      <c r="A175" s="3"/>
      <c r="B175" s="4"/>
      <c r="C175" s="4"/>
      <c r="D175" s="3"/>
      <c r="E175" s="3"/>
      <c r="F175" s="3"/>
      <c r="G175" s="3"/>
    </row>
    <row r="176" spans="1:7" x14ac:dyDescent="0.2">
      <c r="A176" s="3"/>
      <c r="B176" s="4"/>
      <c r="C176" s="4"/>
      <c r="D176" s="3"/>
      <c r="E176" s="3"/>
      <c r="F176" s="3"/>
      <c r="G176" s="3"/>
    </row>
    <row r="177" spans="1:7" x14ac:dyDescent="0.2">
      <c r="A177" s="3"/>
      <c r="B177" s="4"/>
      <c r="C177" s="4"/>
      <c r="D177" s="3"/>
      <c r="E177" s="3"/>
      <c r="F177" s="3"/>
      <c r="G177" s="3"/>
    </row>
    <row r="178" spans="1:7" x14ac:dyDescent="0.2">
      <c r="A178" s="3"/>
      <c r="B178" s="4"/>
      <c r="C178" s="4"/>
      <c r="D178" s="3"/>
      <c r="E178" s="3"/>
      <c r="F178" s="3"/>
      <c r="G178" s="3"/>
    </row>
    <row r="179" spans="1:7" x14ac:dyDescent="0.2">
      <c r="A179" s="3"/>
      <c r="B179" s="4"/>
      <c r="C179" s="4"/>
      <c r="D179" s="3"/>
      <c r="E179" s="3"/>
      <c r="F179" s="3"/>
      <c r="G179" s="3"/>
    </row>
    <row r="180" spans="1:7" x14ac:dyDescent="0.2">
      <c r="A180" s="3"/>
      <c r="B180" s="4"/>
      <c r="C180" s="4"/>
      <c r="D180" s="3"/>
      <c r="E180" s="3"/>
      <c r="F180" s="3"/>
      <c r="G180" s="3"/>
    </row>
    <row r="181" spans="1:7" x14ac:dyDescent="0.2">
      <c r="A181" s="3"/>
      <c r="B181" s="4"/>
      <c r="C181" s="4"/>
      <c r="D181" s="3"/>
      <c r="E181" s="3"/>
      <c r="F181" s="3"/>
      <c r="G181" s="3"/>
    </row>
    <row r="182" spans="1:7" x14ac:dyDescent="0.2">
      <c r="A182" s="3"/>
      <c r="B182" s="4"/>
      <c r="C182" s="4"/>
      <c r="D182" s="3"/>
      <c r="E182" s="3"/>
      <c r="F182" s="3"/>
      <c r="G182" s="3"/>
    </row>
    <row r="183" spans="1:7" x14ac:dyDescent="0.2">
      <c r="A183" s="3"/>
      <c r="B183" s="4"/>
      <c r="C183" s="4"/>
      <c r="D183" s="3"/>
      <c r="E183" s="3"/>
      <c r="F183" s="3"/>
      <c r="G183" s="3"/>
    </row>
    <row r="184" spans="1:7" x14ac:dyDescent="0.2">
      <c r="A184" s="3"/>
      <c r="B184" s="4"/>
      <c r="C184" s="4"/>
      <c r="D184" s="3"/>
      <c r="E184" s="3"/>
      <c r="F184" s="3"/>
      <c r="G184" s="3"/>
    </row>
    <row r="185" spans="1:7" x14ac:dyDescent="0.2">
      <c r="A185" s="3"/>
      <c r="B185" s="4"/>
      <c r="C185" s="4"/>
      <c r="D185" s="3"/>
      <c r="E185" s="3"/>
      <c r="F185" s="3"/>
      <c r="G185" s="3"/>
    </row>
    <row r="186" spans="1:7" x14ac:dyDescent="0.2">
      <c r="A186" s="3"/>
      <c r="B186" s="4"/>
      <c r="C186" s="4"/>
      <c r="D186" s="3"/>
      <c r="E186" s="3"/>
      <c r="F186" s="3"/>
      <c r="G186" s="3"/>
    </row>
    <row r="187" spans="1:7" x14ac:dyDescent="0.2">
      <c r="A187" s="3"/>
      <c r="B187" s="4"/>
      <c r="C187" s="4"/>
      <c r="D187" s="3"/>
      <c r="E187" s="3"/>
      <c r="F187" s="3"/>
      <c r="G187" s="3"/>
    </row>
    <row r="188" spans="1:7" x14ac:dyDescent="0.2">
      <c r="A188" s="3"/>
      <c r="B188" s="4"/>
      <c r="C188" s="4"/>
      <c r="D188" s="3"/>
      <c r="E188" s="3"/>
      <c r="F188" s="3"/>
      <c r="G188" s="3"/>
    </row>
    <row r="189" spans="1:7" x14ac:dyDescent="0.2">
      <c r="A189" s="3"/>
      <c r="B189" s="4"/>
      <c r="C189" s="4"/>
      <c r="D189" s="3"/>
      <c r="E189" s="3"/>
      <c r="F189" s="3"/>
      <c r="G189" s="3"/>
    </row>
    <row r="190" spans="1:7" x14ac:dyDescent="0.2">
      <c r="A190" s="3"/>
      <c r="B190" s="4"/>
      <c r="C190" s="4"/>
      <c r="D190" s="3"/>
      <c r="E190" s="3"/>
      <c r="F190" s="3"/>
      <c r="G190" s="3"/>
    </row>
    <row r="191" spans="1:7" x14ac:dyDescent="0.2">
      <c r="A191" s="3"/>
      <c r="B191" s="4"/>
      <c r="C191" s="4"/>
      <c r="D191" s="3"/>
      <c r="E191" s="3"/>
      <c r="F191" s="3"/>
      <c r="G191" s="3"/>
    </row>
    <row r="192" spans="1:7" x14ac:dyDescent="0.2">
      <c r="A192" s="3"/>
      <c r="B192" s="4"/>
      <c r="C192" s="4"/>
      <c r="D192" s="3"/>
      <c r="E192" s="3"/>
      <c r="F192" s="3"/>
      <c r="G192" s="3"/>
    </row>
    <row r="193" spans="1:7" x14ac:dyDescent="0.2">
      <c r="A193" s="3"/>
      <c r="B193" s="4"/>
      <c r="C193" s="4"/>
      <c r="D193" s="3"/>
      <c r="E193" s="3"/>
      <c r="F193" s="3"/>
      <c r="G193" s="3"/>
    </row>
    <row r="194" spans="1:7" x14ac:dyDescent="0.2">
      <c r="A194" s="3"/>
      <c r="B194" s="4"/>
      <c r="C194" s="4"/>
      <c r="D194" s="3"/>
      <c r="E194" s="3"/>
      <c r="F194" s="3"/>
      <c r="G194" s="3"/>
    </row>
    <row r="195" spans="1:7" x14ac:dyDescent="0.2">
      <c r="A195" s="3"/>
      <c r="B195" s="4"/>
      <c r="C195" s="4"/>
      <c r="D195" s="3"/>
      <c r="E195" s="3"/>
      <c r="F195" s="3"/>
      <c r="G195" s="3"/>
    </row>
    <row r="196" spans="1:7" x14ac:dyDescent="0.2">
      <c r="A196" s="3"/>
      <c r="B196" s="4"/>
      <c r="C196" s="4"/>
      <c r="D196" s="3"/>
      <c r="E196" s="3"/>
      <c r="F196" s="3"/>
      <c r="G196" s="3"/>
    </row>
    <row r="197" spans="1:7" x14ac:dyDescent="0.2">
      <c r="A197" s="3"/>
      <c r="B197" s="4"/>
      <c r="C197" s="4"/>
      <c r="D197" s="3"/>
      <c r="E197" s="3"/>
      <c r="F197" s="3"/>
      <c r="G197" s="3"/>
    </row>
    <row r="198" spans="1:7" x14ac:dyDescent="0.2">
      <c r="A198" s="3"/>
      <c r="B198" s="4"/>
      <c r="C198" s="4"/>
      <c r="D198" s="3"/>
      <c r="E198" s="3"/>
      <c r="F198" s="3"/>
      <c r="G198" s="3"/>
    </row>
    <row r="199" spans="1:7" x14ac:dyDescent="0.2">
      <c r="A199" s="3"/>
      <c r="B199" s="4"/>
      <c r="C199" s="4"/>
      <c r="D199" s="3"/>
      <c r="E199" s="3"/>
      <c r="F199" s="3"/>
      <c r="G199" s="3"/>
    </row>
    <row r="200" spans="1:7" x14ac:dyDescent="0.2">
      <c r="A200" s="3"/>
      <c r="B200" s="4"/>
      <c r="C200" s="4"/>
      <c r="D200" s="3"/>
      <c r="E200" s="3"/>
      <c r="F200" s="3"/>
      <c r="G200" s="3"/>
    </row>
    <row r="201" spans="1:7" x14ac:dyDescent="0.2">
      <c r="A201" s="3"/>
      <c r="B201" s="4"/>
      <c r="C201" s="4"/>
      <c r="D201" s="3"/>
      <c r="E201" s="3"/>
      <c r="F201" s="3"/>
      <c r="G201" s="3"/>
    </row>
    <row r="202" spans="1:7" x14ac:dyDescent="0.2">
      <c r="A202" s="3"/>
      <c r="B202" s="4"/>
      <c r="C202" s="4"/>
      <c r="D202" s="3"/>
      <c r="E202" s="3"/>
      <c r="F202" s="3"/>
      <c r="G202" s="3"/>
    </row>
    <row r="203" spans="1:7" x14ac:dyDescent="0.2">
      <c r="A203" s="3"/>
      <c r="B203" s="4"/>
      <c r="C203" s="4"/>
      <c r="D203" s="3"/>
      <c r="E203" s="3"/>
      <c r="F203" s="3"/>
      <c r="G203" s="3"/>
    </row>
    <row r="204" spans="1:7" x14ac:dyDescent="0.2">
      <c r="A204" s="3"/>
      <c r="B204" s="4"/>
      <c r="C204" s="4"/>
      <c r="D204" s="3"/>
      <c r="E204" s="3"/>
      <c r="F204" s="3"/>
      <c r="G204" s="3"/>
    </row>
    <row r="205" spans="1:7" x14ac:dyDescent="0.2">
      <c r="A205" s="3"/>
      <c r="B205" s="4"/>
      <c r="C205" s="4"/>
      <c r="D205" s="3"/>
      <c r="E205" s="3"/>
      <c r="F205" s="3"/>
      <c r="G205" s="3"/>
    </row>
    <row r="206" spans="1:7" x14ac:dyDescent="0.2">
      <c r="A206" s="3"/>
      <c r="B206" s="4"/>
      <c r="C206" s="4"/>
      <c r="D206" s="3"/>
      <c r="E206" s="3"/>
      <c r="F206" s="3"/>
      <c r="G206" s="3"/>
    </row>
    <row r="207" spans="1:7" x14ac:dyDescent="0.2">
      <c r="A207" s="3"/>
      <c r="B207" s="4"/>
      <c r="C207" s="4"/>
      <c r="D207" s="3"/>
      <c r="E207" s="3"/>
      <c r="F207" s="3"/>
      <c r="G207" s="3"/>
    </row>
    <row r="208" spans="1:7" x14ac:dyDescent="0.2">
      <c r="A208" s="3"/>
      <c r="B208" s="4"/>
      <c r="C208" s="4"/>
      <c r="D208" s="3"/>
      <c r="E208" s="3"/>
      <c r="F208" s="3"/>
      <c r="G208" s="3"/>
    </row>
    <row r="209" spans="1:7" x14ac:dyDescent="0.2">
      <c r="A209" s="3"/>
      <c r="B209" s="4"/>
      <c r="C209" s="4"/>
      <c r="D209" s="3"/>
      <c r="E209" s="3"/>
      <c r="F209" s="3"/>
      <c r="G209" s="3"/>
    </row>
    <row r="210" spans="1:7" x14ac:dyDescent="0.2">
      <c r="A210" s="3"/>
      <c r="B210" s="4"/>
      <c r="C210" s="4"/>
      <c r="D210" s="3"/>
      <c r="E210" s="3"/>
      <c r="F210" s="3"/>
      <c r="G210" s="3"/>
    </row>
    <row r="211" spans="1:7" x14ac:dyDescent="0.2">
      <c r="A211" s="3"/>
      <c r="B211" s="4"/>
      <c r="C211" s="4"/>
      <c r="D211" s="3"/>
      <c r="E211" s="3"/>
      <c r="F211" s="3"/>
      <c r="G211" s="3"/>
    </row>
    <row r="212" spans="1:7" x14ac:dyDescent="0.2">
      <c r="A212" s="3"/>
      <c r="B212" s="4"/>
      <c r="C212" s="4"/>
      <c r="D212" s="3"/>
      <c r="E212" s="3"/>
      <c r="F212" s="3"/>
      <c r="G212" s="3"/>
    </row>
    <row r="213" spans="1:7" x14ac:dyDescent="0.2">
      <c r="A213" s="3"/>
      <c r="B213" s="4"/>
      <c r="C213" s="4"/>
      <c r="D213" s="3"/>
      <c r="E213" s="3"/>
      <c r="F213" s="3"/>
      <c r="G213" s="3"/>
    </row>
    <row r="214" spans="1:7" x14ac:dyDescent="0.2">
      <c r="A214" s="3"/>
      <c r="B214" s="4"/>
      <c r="C214" s="4"/>
      <c r="D214" s="3"/>
      <c r="E214" s="3"/>
      <c r="F214" s="3"/>
      <c r="G214" s="3"/>
    </row>
    <row r="215" spans="1:7" x14ac:dyDescent="0.2">
      <c r="A215" s="3"/>
      <c r="B215" s="4"/>
      <c r="C215" s="4"/>
      <c r="D215" s="3"/>
      <c r="E215" s="3"/>
      <c r="F215" s="3"/>
      <c r="G215" s="3"/>
    </row>
    <row r="216" spans="1:7" x14ac:dyDescent="0.2">
      <c r="A216" s="3"/>
      <c r="B216" s="4"/>
      <c r="C216" s="4"/>
      <c r="D216" s="3"/>
      <c r="E216" s="3"/>
      <c r="F216" s="3"/>
      <c r="G216" s="3"/>
    </row>
    <row r="217" spans="1:7" x14ac:dyDescent="0.2">
      <c r="A217" s="3"/>
      <c r="B217" s="4"/>
      <c r="C217" s="4"/>
      <c r="D217" s="3"/>
      <c r="E217" s="3"/>
      <c r="F217" s="3"/>
      <c r="G217" s="3"/>
    </row>
    <row r="218" spans="1:7" x14ac:dyDescent="0.2">
      <c r="A218" s="3"/>
      <c r="B218" s="4"/>
      <c r="C218" s="4"/>
      <c r="D218" s="3"/>
      <c r="E218" s="3"/>
      <c r="F218" s="3"/>
      <c r="G218" s="3"/>
    </row>
    <row r="219" spans="1:7" x14ac:dyDescent="0.2">
      <c r="A219" s="3"/>
      <c r="B219" s="4"/>
      <c r="C219" s="4"/>
      <c r="D219" s="3"/>
      <c r="E219" s="3"/>
      <c r="F219" s="3"/>
      <c r="G219" s="3"/>
    </row>
    <row r="220" spans="1:7" x14ac:dyDescent="0.2">
      <c r="A220" s="3"/>
      <c r="B220" s="4"/>
      <c r="C220" s="4"/>
      <c r="D220" s="3"/>
      <c r="E220" s="3"/>
      <c r="F220" s="3"/>
      <c r="G220" s="3"/>
    </row>
    <row r="221" spans="1:7" x14ac:dyDescent="0.2">
      <c r="A221" s="3"/>
      <c r="B221" s="4"/>
      <c r="C221" s="4"/>
      <c r="D221" s="3"/>
      <c r="E221" s="3"/>
      <c r="F221" s="3"/>
      <c r="G221" s="3"/>
    </row>
    <row r="222" spans="1:7" x14ac:dyDescent="0.2">
      <c r="A222" s="3"/>
      <c r="B222" s="4"/>
      <c r="C222" s="4"/>
      <c r="D222" s="3"/>
      <c r="E222" s="3"/>
      <c r="F222" s="3"/>
      <c r="G222" s="3"/>
    </row>
    <row r="223" spans="1:7" x14ac:dyDescent="0.2">
      <c r="A223" s="3"/>
      <c r="B223" s="4"/>
      <c r="C223" s="4"/>
      <c r="D223" s="3"/>
      <c r="E223" s="3"/>
      <c r="F223" s="3"/>
      <c r="G223" s="3"/>
    </row>
    <row r="224" spans="1:7" x14ac:dyDescent="0.2">
      <c r="A224" s="3"/>
      <c r="B224" s="4"/>
      <c r="C224" s="4"/>
      <c r="D224" s="3"/>
      <c r="E224" s="3"/>
      <c r="F224" s="3"/>
      <c r="G224" s="3"/>
    </row>
    <row r="225" spans="1:7" x14ac:dyDescent="0.2">
      <c r="A225" s="3"/>
      <c r="B225" s="4"/>
      <c r="C225" s="4"/>
      <c r="D225" s="3"/>
      <c r="E225" s="3"/>
      <c r="F225" s="3"/>
      <c r="G225" s="3"/>
    </row>
    <row r="226" spans="1:7" x14ac:dyDescent="0.2">
      <c r="A226" s="3"/>
      <c r="B226" s="4"/>
      <c r="C226" s="4"/>
      <c r="D226" s="3"/>
      <c r="E226" s="3"/>
      <c r="F226" s="3"/>
      <c r="G226" s="3"/>
    </row>
    <row r="227" spans="1:7" x14ac:dyDescent="0.2">
      <c r="A227" s="3"/>
      <c r="B227" s="4"/>
      <c r="C227" s="4"/>
      <c r="D227" s="3"/>
      <c r="E227" s="3"/>
      <c r="F227" s="3"/>
      <c r="G227" s="3"/>
    </row>
    <row r="228" spans="1:7" x14ac:dyDescent="0.2">
      <c r="A228" s="3"/>
      <c r="B228" s="4"/>
      <c r="C228" s="4"/>
      <c r="D228" s="3"/>
      <c r="E228" s="3"/>
      <c r="F228" s="3"/>
      <c r="G228" s="3"/>
    </row>
    <row r="229" spans="1:7" x14ac:dyDescent="0.2">
      <c r="A229" s="3"/>
      <c r="B229" s="4"/>
      <c r="C229" s="4"/>
      <c r="D229" s="3"/>
      <c r="E229" s="3"/>
      <c r="F229" s="3"/>
      <c r="G229" s="3"/>
    </row>
    <row r="230" spans="1:7" x14ac:dyDescent="0.2">
      <c r="A230" s="3"/>
      <c r="B230" s="4"/>
      <c r="C230" s="4"/>
      <c r="D230" s="3"/>
      <c r="E230" s="3"/>
      <c r="F230" s="3"/>
      <c r="G230" s="3"/>
    </row>
    <row r="231" spans="1:7" x14ac:dyDescent="0.2">
      <c r="A231" s="3"/>
      <c r="B231" s="4"/>
      <c r="C231" s="4"/>
      <c r="D231" s="3"/>
      <c r="E231" s="3"/>
      <c r="F231" s="3"/>
      <c r="G231" s="3"/>
    </row>
    <row r="232" spans="1:7" x14ac:dyDescent="0.2">
      <c r="A232" s="3"/>
      <c r="B232" s="4"/>
      <c r="C232" s="4"/>
      <c r="D232" s="3"/>
      <c r="E232" s="3"/>
      <c r="F232" s="3"/>
      <c r="G232" s="3"/>
    </row>
    <row r="233" spans="1:7" x14ac:dyDescent="0.2">
      <c r="A233" s="3"/>
      <c r="B233" s="4"/>
      <c r="C233" s="4"/>
      <c r="D233" s="3"/>
      <c r="E233" s="3"/>
      <c r="F233" s="3"/>
      <c r="G233" s="3"/>
    </row>
    <row r="234" spans="1:7" x14ac:dyDescent="0.2">
      <c r="A234" s="3"/>
      <c r="B234" s="4"/>
      <c r="C234" s="4"/>
      <c r="D234" s="3"/>
      <c r="E234" s="3"/>
      <c r="F234" s="3"/>
      <c r="G234" s="3"/>
    </row>
    <row r="235" spans="1:7" x14ac:dyDescent="0.2">
      <c r="A235" s="3"/>
      <c r="B235" s="4"/>
      <c r="C235" s="4"/>
      <c r="D235" s="3"/>
      <c r="E235" s="3"/>
      <c r="F235" s="3"/>
      <c r="G235" s="3"/>
    </row>
    <row r="236" spans="1:7" x14ac:dyDescent="0.2">
      <c r="A236" s="3"/>
      <c r="B236" s="4"/>
      <c r="C236" s="4"/>
      <c r="D236" s="3"/>
      <c r="E236" s="3"/>
      <c r="F236" s="3"/>
      <c r="G236" s="3"/>
    </row>
    <row r="237" spans="1:7" x14ac:dyDescent="0.2">
      <c r="A237" s="3"/>
      <c r="B237" s="4"/>
      <c r="C237" s="4"/>
      <c r="D237" s="3"/>
      <c r="E237" s="3"/>
      <c r="F237" s="3"/>
      <c r="G237" s="3"/>
    </row>
    <row r="238" spans="1:7" x14ac:dyDescent="0.2">
      <c r="A238" s="3"/>
      <c r="B238" s="4"/>
      <c r="C238" s="4"/>
      <c r="D238" s="3"/>
      <c r="E238" s="3"/>
      <c r="F238" s="3"/>
      <c r="G238" s="3"/>
    </row>
    <row r="239" spans="1:7" x14ac:dyDescent="0.2">
      <c r="A239" s="3"/>
      <c r="B239" s="4"/>
      <c r="C239" s="4"/>
      <c r="D239" s="3"/>
      <c r="E239" s="3"/>
      <c r="F239" s="3"/>
      <c r="G239" s="3"/>
    </row>
    <row r="240" spans="1:7" x14ac:dyDescent="0.2">
      <c r="A240" s="3"/>
      <c r="B240" s="4"/>
      <c r="C240" s="4"/>
      <c r="D240" s="3"/>
      <c r="E240" s="3"/>
      <c r="F240" s="3"/>
      <c r="G240" s="3"/>
    </row>
    <row r="241" spans="1:7" x14ac:dyDescent="0.2">
      <c r="A241" s="3"/>
      <c r="B241" s="4"/>
      <c r="C241" s="4"/>
      <c r="D241" s="3"/>
      <c r="E241" s="3"/>
      <c r="F241" s="3"/>
      <c r="G241" s="3"/>
    </row>
    <row r="242" spans="1:7" x14ac:dyDescent="0.2">
      <c r="A242" s="3"/>
      <c r="B242" s="4"/>
      <c r="C242" s="4"/>
      <c r="D242" s="3"/>
      <c r="E242" s="3"/>
      <c r="F242" s="3"/>
      <c r="G242" s="3"/>
    </row>
    <row r="243" spans="1:7" x14ac:dyDescent="0.2">
      <c r="A243" s="3"/>
      <c r="B243" s="4"/>
      <c r="C243" s="4"/>
      <c r="D243" s="3"/>
      <c r="E243" s="3"/>
      <c r="F243" s="3"/>
      <c r="G243" s="3"/>
    </row>
    <row r="244" spans="1:7" x14ac:dyDescent="0.2">
      <c r="A244" s="3"/>
      <c r="B244" s="4"/>
      <c r="C244" s="4"/>
      <c r="D244" s="3"/>
      <c r="E244" s="3"/>
      <c r="F244" s="3"/>
      <c r="G244" s="3"/>
    </row>
    <row r="245" spans="1:7" x14ac:dyDescent="0.2">
      <c r="A245" s="3"/>
      <c r="B245" s="4"/>
      <c r="C245" s="4"/>
      <c r="D245" s="3"/>
      <c r="E245" s="3"/>
      <c r="F245" s="3"/>
      <c r="G245" s="3"/>
    </row>
    <row r="246" spans="1:7" x14ac:dyDescent="0.2">
      <c r="A246" s="3"/>
      <c r="B246" s="4"/>
      <c r="C246" s="4"/>
      <c r="D246" s="3"/>
      <c r="E246" s="3"/>
      <c r="F246" s="3"/>
      <c r="G246" s="3"/>
    </row>
    <row r="247" spans="1:7" x14ac:dyDescent="0.2">
      <c r="A247" s="3"/>
      <c r="B247" s="4"/>
      <c r="C247" s="4"/>
      <c r="D247" s="3"/>
      <c r="E247" s="3"/>
      <c r="F247" s="3"/>
      <c r="G247" s="3"/>
    </row>
    <row r="248" spans="1:7" x14ac:dyDescent="0.2">
      <c r="A248" s="3"/>
      <c r="B248" s="4"/>
      <c r="C248" s="4"/>
      <c r="D248" s="3"/>
      <c r="E248" s="3"/>
      <c r="F248" s="3"/>
      <c r="G248" s="3"/>
    </row>
    <row r="249" spans="1:7" x14ac:dyDescent="0.2">
      <c r="A249" s="3"/>
      <c r="B249" s="4"/>
      <c r="C249" s="4"/>
      <c r="D249" s="3"/>
      <c r="E249" s="3"/>
      <c r="F249" s="3"/>
      <c r="G249" s="3"/>
    </row>
    <row r="250" spans="1:7" x14ac:dyDescent="0.2">
      <c r="A250" s="3"/>
      <c r="B250" s="4"/>
      <c r="C250" s="4"/>
      <c r="D250" s="3"/>
      <c r="E250" s="3"/>
      <c r="F250" s="3"/>
      <c r="G250" s="3"/>
    </row>
    <row r="251" spans="1:7" x14ac:dyDescent="0.2">
      <c r="A251" s="3"/>
      <c r="B251" s="4"/>
      <c r="C251" s="4"/>
      <c r="D251" s="3"/>
      <c r="E251" s="3"/>
      <c r="F251" s="3"/>
      <c r="G251" s="3"/>
    </row>
    <row r="252" spans="1:7" x14ac:dyDescent="0.2">
      <c r="A252" s="3"/>
      <c r="B252" s="4"/>
      <c r="C252" s="4"/>
      <c r="D252" s="3"/>
      <c r="E252" s="3"/>
      <c r="F252" s="3"/>
      <c r="G252" s="3"/>
    </row>
    <row r="253" spans="1:7" x14ac:dyDescent="0.2">
      <c r="A253" s="3"/>
      <c r="B253" s="4"/>
      <c r="C253" s="4"/>
      <c r="D253" s="3"/>
      <c r="E253" s="3"/>
      <c r="F253" s="3"/>
      <c r="G253" s="3"/>
    </row>
    <row r="254" spans="1:7" x14ac:dyDescent="0.2">
      <c r="A254" s="3"/>
      <c r="B254" s="4"/>
      <c r="C254" s="4"/>
      <c r="D254" s="3"/>
      <c r="E254" s="3"/>
      <c r="F254" s="3"/>
      <c r="G254" s="3"/>
    </row>
    <row r="255" spans="1:7" x14ac:dyDescent="0.2">
      <c r="A255" s="3"/>
      <c r="B255" s="4"/>
      <c r="C255" s="4"/>
      <c r="D255" s="3"/>
      <c r="E255" s="3"/>
      <c r="F255" s="3"/>
      <c r="G255" s="3"/>
    </row>
    <row r="256" spans="1:7" x14ac:dyDescent="0.2">
      <c r="A256" s="3"/>
      <c r="B256" s="4"/>
      <c r="C256" s="4"/>
      <c r="D256" s="3"/>
      <c r="E256" s="3"/>
      <c r="F256" s="3"/>
      <c r="G256" s="3"/>
    </row>
    <row r="257" spans="1:7" x14ac:dyDescent="0.2">
      <c r="A257" s="3"/>
      <c r="B257" s="4"/>
      <c r="C257" s="4"/>
      <c r="D257" s="3"/>
      <c r="E257" s="3"/>
      <c r="F257" s="3"/>
      <c r="G257" s="3"/>
    </row>
    <row r="258" spans="1:7" x14ac:dyDescent="0.2">
      <c r="A258" s="3"/>
      <c r="B258" s="4"/>
      <c r="C258" s="4"/>
      <c r="D258" s="3"/>
      <c r="E258" s="3"/>
      <c r="F258" s="3"/>
      <c r="G258" s="3"/>
    </row>
    <row r="259" spans="1:7" x14ac:dyDescent="0.2">
      <c r="A259" s="3"/>
      <c r="B259" s="4"/>
      <c r="C259" s="4"/>
      <c r="D259" s="3"/>
      <c r="E259" s="3"/>
      <c r="F259" s="3"/>
      <c r="G259" s="3"/>
    </row>
    <row r="260" spans="1:7" x14ac:dyDescent="0.2">
      <c r="A260" s="3"/>
      <c r="B260" s="4"/>
      <c r="C260" s="4"/>
      <c r="D260" s="3"/>
      <c r="E260" s="3"/>
      <c r="F260" s="3"/>
      <c r="G260" s="3"/>
    </row>
    <row r="261" spans="1:7" x14ac:dyDescent="0.2">
      <c r="A261" s="3"/>
      <c r="B261" s="4"/>
      <c r="C261" s="4"/>
      <c r="D261" s="3"/>
      <c r="E261" s="3"/>
      <c r="F261" s="3"/>
      <c r="G261" s="3"/>
    </row>
    <row r="262" spans="1:7" x14ac:dyDescent="0.2">
      <c r="A262" s="3"/>
      <c r="B262" s="4"/>
      <c r="C262" s="4"/>
      <c r="D262" s="3"/>
      <c r="E262" s="3"/>
      <c r="F262" s="3"/>
      <c r="G262" s="3"/>
    </row>
    <row r="263" spans="1:7" x14ac:dyDescent="0.2">
      <c r="A263" s="3"/>
      <c r="B263" s="4"/>
      <c r="C263" s="4"/>
      <c r="D263" s="3"/>
      <c r="E263" s="3"/>
      <c r="F263" s="3"/>
      <c r="G263" s="3"/>
    </row>
    <row r="264" spans="1:7" x14ac:dyDescent="0.2">
      <c r="A264" s="3"/>
      <c r="B264" s="4"/>
      <c r="C264" s="4"/>
      <c r="D264" s="3"/>
      <c r="E264" s="3"/>
      <c r="F264" s="3"/>
      <c r="G264" s="3"/>
    </row>
    <row r="265" spans="1:7" x14ac:dyDescent="0.2">
      <c r="A265" s="3"/>
      <c r="B265" s="4"/>
      <c r="C265" s="4"/>
      <c r="D265" s="3"/>
      <c r="E265" s="3"/>
      <c r="F265" s="3"/>
      <c r="G265" s="3"/>
    </row>
    <row r="266" spans="1:7" x14ac:dyDescent="0.2">
      <c r="A266" s="3"/>
      <c r="B266" s="4"/>
      <c r="C266" s="4"/>
      <c r="D266" s="3"/>
      <c r="E266" s="3"/>
      <c r="F266" s="3"/>
      <c r="G266" s="3"/>
    </row>
    <row r="267" spans="1:7" x14ac:dyDescent="0.2">
      <c r="A267" s="3"/>
      <c r="B267" s="4"/>
      <c r="C267" s="4"/>
      <c r="D267" s="3"/>
      <c r="E267" s="3"/>
      <c r="F267" s="3"/>
      <c r="G267" s="3"/>
    </row>
    <row r="268" spans="1:7" x14ac:dyDescent="0.2">
      <c r="A268" s="3"/>
      <c r="B268" s="4"/>
      <c r="C268" s="4"/>
      <c r="D268" s="3"/>
      <c r="E268" s="3"/>
      <c r="F268" s="3"/>
      <c r="G268" s="3"/>
    </row>
    <row r="269" spans="1:7" x14ac:dyDescent="0.2">
      <c r="A269" s="3"/>
      <c r="B269" s="4"/>
      <c r="C269" s="4"/>
      <c r="D269" s="3"/>
      <c r="E269" s="3"/>
      <c r="F269" s="3"/>
      <c r="G269" s="3"/>
    </row>
    <row r="270" spans="1:7" x14ac:dyDescent="0.2">
      <c r="A270" s="3"/>
      <c r="B270" s="4"/>
      <c r="C270" s="4"/>
      <c r="D270" s="3"/>
      <c r="E270" s="3"/>
      <c r="F270" s="3"/>
      <c r="G270" s="3"/>
    </row>
    <row r="271" spans="1:7" x14ac:dyDescent="0.2">
      <c r="A271" s="3"/>
      <c r="B271" s="4"/>
      <c r="C271" s="4"/>
      <c r="D271" s="3"/>
      <c r="E271" s="3"/>
      <c r="F271" s="3"/>
      <c r="G271" s="3"/>
    </row>
    <row r="272" spans="1:7" x14ac:dyDescent="0.2">
      <c r="A272" s="3"/>
      <c r="B272" s="4"/>
      <c r="C272" s="4"/>
      <c r="D272" s="3"/>
      <c r="E272" s="3"/>
      <c r="F272" s="3"/>
      <c r="G272" s="3"/>
    </row>
    <row r="273" spans="1:7" x14ac:dyDescent="0.2">
      <c r="A273" s="3"/>
      <c r="B273" s="4"/>
      <c r="C273" s="4"/>
      <c r="D273" s="3"/>
      <c r="E273" s="3"/>
      <c r="F273" s="3"/>
      <c r="G273" s="3"/>
    </row>
    <row r="274" spans="1:7" x14ac:dyDescent="0.2">
      <c r="A274" s="3"/>
      <c r="B274" s="4"/>
      <c r="C274" s="4"/>
      <c r="D274" s="3"/>
      <c r="E274" s="3"/>
      <c r="F274" s="3"/>
      <c r="G274" s="3"/>
    </row>
    <row r="275" spans="1:7" x14ac:dyDescent="0.2">
      <c r="A275" s="3"/>
      <c r="B275" s="4"/>
      <c r="C275" s="4"/>
      <c r="D275" s="3"/>
      <c r="E275" s="3"/>
      <c r="F275" s="3"/>
      <c r="G275" s="3"/>
    </row>
    <row r="276" spans="1:7" x14ac:dyDescent="0.2">
      <c r="A276" s="3"/>
      <c r="B276" s="4"/>
      <c r="C276" s="4"/>
      <c r="D276" s="3"/>
      <c r="E276" s="3"/>
      <c r="F276" s="3"/>
      <c r="G276" s="3"/>
    </row>
    <row r="277" spans="1:7" x14ac:dyDescent="0.2">
      <c r="A277" s="3"/>
      <c r="B277" s="4"/>
      <c r="C277" s="4"/>
      <c r="D277" s="3"/>
      <c r="E277" s="3"/>
      <c r="F277" s="3"/>
      <c r="G277" s="3"/>
    </row>
    <row r="278" spans="1:7" x14ac:dyDescent="0.2">
      <c r="A278" s="3"/>
      <c r="B278" s="4"/>
      <c r="C278" s="4"/>
      <c r="D278" s="3"/>
      <c r="E278" s="3"/>
      <c r="F278" s="3"/>
      <c r="G278" s="3"/>
    </row>
    <row r="279" spans="1:7" x14ac:dyDescent="0.2">
      <c r="A279" s="3"/>
      <c r="B279" s="4"/>
      <c r="C279" s="4"/>
      <c r="D279" s="3"/>
      <c r="E279" s="3"/>
      <c r="F279" s="3"/>
      <c r="G279" s="3"/>
    </row>
    <row r="280" spans="1:7" x14ac:dyDescent="0.2">
      <c r="A280" s="3"/>
      <c r="B280" s="4"/>
      <c r="C280" s="4"/>
      <c r="D280" s="3"/>
      <c r="E280" s="3"/>
      <c r="F280" s="3"/>
      <c r="G280" s="3"/>
    </row>
    <row r="281" spans="1:7" x14ac:dyDescent="0.2">
      <c r="A281" s="3"/>
      <c r="B281" s="4"/>
      <c r="C281" s="4"/>
      <c r="D281" s="3"/>
      <c r="E281" s="3"/>
      <c r="F281" s="3"/>
      <c r="G281" s="3"/>
    </row>
    <row r="282" spans="1:7" x14ac:dyDescent="0.2">
      <c r="A282" s="3"/>
      <c r="B282" s="4"/>
      <c r="C282" s="4"/>
      <c r="D282" s="3"/>
      <c r="E282" s="3"/>
      <c r="F282" s="3"/>
      <c r="G282" s="3"/>
    </row>
    <row r="283" spans="1:7" x14ac:dyDescent="0.2">
      <c r="A283" s="3"/>
      <c r="B283" s="4"/>
      <c r="C283" s="4"/>
      <c r="D283" s="3"/>
      <c r="E283" s="3"/>
      <c r="F283" s="3"/>
      <c r="G283" s="3"/>
    </row>
    <row r="284" spans="1:7" x14ac:dyDescent="0.2">
      <c r="A284" s="3"/>
      <c r="B284" s="4"/>
      <c r="C284" s="4"/>
      <c r="D284" s="3"/>
      <c r="E284" s="3"/>
      <c r="F284" s="3"/>
      <c r="G284" s="3"/>
    </row>
    <row r="285" spans="1:7" x14ac:dyDescent="0.2">
      <c r="A285" s="3"/>
      <c r="B285" s="4"/>
      <c r="C285" s="4"/>
      <c r="D285" s="3"/>
      <c r="E285" s="3"/>
      <c r="F285" s="3"/>
      <c r="G285" s="3"/>
    </row>
    <row r="286" spans="1:7" x14ac:dyDescent="0.2">
      <c r="A286" s="3"/>
      <c r="B286" s="4"/>
      <c r="C286" s="4"/>
      <c r="D286" s="3"/>
      <c r="E286" s="3"/>
      <c r="F286" s="3"/>
      <c r="G286" s="3"/>
    </row>
    <row r="287" spans="1:7" x14ac:dyDescent="0.2">
      <c r="A287" s="3"/>
      <c r="B287" s="4"/>
      <c r="C287" s="4"/>
      <c r="D287" s="3"/>
      <c r="E287" s="3"/>
      <c r="F287" s="3"/>
      <c r="G287" s="3"/>
    </row>
    <row r="288" spans="1:7" x14ac:dyDescent="0.2">
      <c r="A288" s="3"/>
      <c r="B288" s="4"/>
      <c r="C288" s="4"/>
      <c r="D288" s="3"/>
      <c r="E288" s="3"/>
      <c r="F288" s="3"/>
      <c r="G288" s="3"/>
    </row>
    <row r="289" spans="1:7" x14ac:dyDescent="0.2">
      <c r="A289" s="3"/>
      <c r="B289" s="4"/>
      <c r="C289" s="4"/>
      <c r="D289" s="3"/>
      <c r="E289" s="3"/>
      <c r="F289" s="3"/>
      <c r="G289" s="3"/>
    </row>
    <row r="290" spans="1:7" x14ac:dyDescent="0.2">
      <c r="A290" s="3"/>
      <c r="B290" s="4"/>
      <c r="C290" s="4"/>
      <c r="D290" s="3"/>
      <c r="E290" s="3"/>
      <c r="F290" s="3"/>
      <c r="G290" s="3"/>
    </row>
    <row r="291" spans="1:7" x14ac:dyDescent="0.2">
      <c r="A291" s="3"/>
      <c r="B291" s="4"/>
      <c r="C291" s="4"/>
      <c r="D291" s="3"/>
      <c r="E291" s="3"/>
      <c r="F291" s="3"/>
      <c r="G291" s="3"/>
    </row>
    <row r="292" spans="1:7" x14ac:dyDescent="0.2">
      <c r="A292" s="3"/>
      <c r="B292" s="4"/>
      <c r="C292" s="4"/>
      <c r="D292" s="3"/>
      <c r="E292" s="3"/>
      <c r="F292" s="3"/>
      <c r="G292" s="3"/>
    </row>
    <row r="293" spans="1:7" x14ac:dyDescent="0.2">
      <c r="A293" s="3"/>
      <c r="B293" s="4"/>
      <c r="C293" s="4"/>
      <c r="D293" s="3"/>
      <c r="E293" s="3"/>
      <c r="F293" s="3"/>
      <c r="G293" s="3"/>
    </row>
    <row r="294" spans="1:7" x14ac:dyDescent="0.2">
      <c r="A294" s="3"/>
      <c r="B294" s="4"/>
      <c r="C294" s="4"/>
      <c r="D294" s="3"/>
      <c r="E294" s="3"/>
      <c r="F294" s="3"/>
      <c r="G294" s="3"/>
    </row>
    <row r="295" spans="1:7" x14ac:dyDescent="0.2">
      <c r="A295" s="3"/>
      <c r="B295" s="4"/>
      <c r="C295" s="4"/>
      <c r="D295" s="3"/>
      <c r="E295" s="3"/>
      <c r="F295" s="3"/>
      <c r="G295" s="3"/>
    </row>
    <row r="296" spans="1:7" x14ac:dyDescent="0.2">
      <c r="A296" s="3"/>
      <c r="B296" s="4"/>
      <c r="C296" s="4"/>
      <c r="D296" s="3"/>
      <c r="E296" s="3"/>
      <c r="F296" s="3"/>
      <c r="G296" s="3"/>
    </row>
    <row r="297" spans="1:7" x14ac:dyDescent="0.2">
      <c r="A297" s="3"/>
      <c r="B297" s="4"/>
      <c r="C297" s="4"/>
      <c r="D297" s="3"/>
      <c r="E297" s="3"/>
      <c r="F297" s="3"/>
      <c r="G297" s="3"/>
    </row>
    <row r="298" spans="1:7" x14ac:dyDescent="0.2">
      <c r="A298" s="3"/>
      <c r="B298" s="4"/>
      <c r="C298" s="4"/>
      <c r="D298" s="3"/>
      <c r="E298" s="3"/>
      <c r="F298" s="3"/>
      <c r="G298" s="3"/>
    </row>
    <row r="299" spans="1:7" x14ac:dyDescent="0.2">
      <c r="A299" s="3"/>
      <c r="B299" s="4"/>
      <c r="C299" s="4"/>
      <c r="D299" s="3"/>
      <c r="E299" s="3"/>
      <c r="F299" s="3"/>
      <c r="G299" s="3"/>
    </row>
    <row r="300" spans="1:7" x14ac:dyDescent="0.2">
      <c r="A300" s="3"/>
      <c r="B300" s="4"/>
      <c r="C300" s="4"/>
      <c r="D300" s="3"/>
      <c r="E300" s="3"/>
      <c r="F300" s="3"/>
      <c r="G300" s="3"/>
    </row>
    <row r="301" spans="1:7" x14ac:dyDescent="0.2">
      <c r="A301" s="3"/>
      <c r="B301" s="4"/>
      <c r="C301" s="4"/>
      <c r="D301" s="3"/>
      <c r="E301" s="3"/>
      <c r="F301" s="3"/>
      <c r="G301" s="3"/>
    </row>
    <row r="302" spans="1:7" x14ac:dyDescent="0.2">
      <c r="A302" s="3"/>
      <c r="B302" s="4"/>
      <c r="C302" s="4"/>
      <c r="D302" s="3"/>
      <c r="E302" s="3"/>
      <c r="F302" s="3"/>
      <c r="G302" s="3"/>
    </row>
    <row r="303" spans="1:7" x14ac:dyDescent="0.2">
      <c r="A303" s="3"/>
      <c r="B303" s="4"/>
      <c r="C303" s="4"/>
      <c r="D303" s="3"/>
      <c r="E303" s="3"/>
      <c r="F303" s="3"/>
      <c r="G303" s="3"/>
    </row>
    <row r="304" spans="1:7" x14ac:dyDescent="0.2">
      <c r="A304" s="3"/>
      <c r="B304" s="4"/>
      <c r="C304" s="4"/>
      <c r="D304" s="3"/>
      <c r="E304" s="3"/>
      <c r="F304" s="3"/>
      <c r="G304" s="3"/>
    </row>
    <row r="305" spans="1:7" x14ac:dyDescent="0.2">
      <c r="A305" s="3"/>
      <c r="B305" s="4"/>
      <c r="C305" s="4"/>
      <c r="D305" s="3"/>
      <c r="E305" s="3"/>
      <c r="F305" s="3"/>
      <c r="G305" s="3"/>
    </row>
    <row r="306" spans="1:7" x14ac:dyDescent="0.2">
      <c r="A306" s="3"/>
      <c r="B306" s="4"/>
      <c r="C306" s="4"/>
      <c r="D306" s="3"/>
      <c r="E306" s="3"/>
      <c r="F306" s="3"/>
      <c r="G306" s="3"/>
    </row>
    <row r="307" spans="1:7" x14ac:dyDescent="0.2">
      <c r="A307" s="3"/>
      <c r="B307" s="4"/>
      <c r="C307" s="4"/>
      <c r="D307" s="3"/>
      <c r="E307" s="3"/>
      <c r="F307" s="3"/>
      <c r="G307" s="3"/>
    </row>
    <row r="308" spans="1:7" x14ac:dyDescent="0.2">
      <c r="A308" s="3"/>
      <c r="B308" s="4"/>
      <c r="C308" s="4"/>
      <c r="D308" s="3"/>
      <c r="E308" s="3"/>
      <c r="F308" s="3"/>
      <c r="G308" s="3"/>
    </row>
    <row r="309" spans="1:7" x14ac:dyDescent="0.2">
      <c r="A309" s="3"/>
      <c r="B309" s="4"/>
      <c r="C309" s="4"/>
      <c r="D309" s="3"/>
      <c r="E309" s="3"/>
      <c r="F309" s="3"/>
      <c r="G309" s="3"/>
    </row>
    <row r="310" spans="1:7" x14ac:dyDescent="0.2">
      <c r="A310" s="3"/>
      <c r="B310" s="4"/>
      <c r="C310" s="4"/>
      <c r="D310" s="3"/>
      <c r="E310" s="3"/>
      <c r="F310" s="3"/>
      <c r="G310" s="3"/>
    </row>
    <row r="311" spans="1:7" x14ac:dyDescent="0.2">
      <c r="A311" s="3"/>
      <c r="B311" s="4"/>
      <c r="C311" s="4"/>
      <c r="D311" s="3"/>
      <c r="E311" s="3"/>
      <c r="F311" s="3"/>
      <c r="G311" s="3"/>
    </row>
    <row r="312" spans="1:7" x14ac:dyDescent="0.2">
      <c r="A312" s="3"/>
      <c r="B312" s="4"/>
      <c r="C312" s="4"/>
      <c r="D312" s="3"/>
      <c r="E312" s="3"/>
      <c r="F312" s="3"/>
      <c r="G312" s="3"/>
    </row>
    <row r="313" spans="1:7" x14ac:dyDescent="0.2">
      <c r="A313" s="3"/>
      <c r="B313" s="4"/>
      <c r="C313" s="4"/>
      <c r="D313" s="3"/>
      <c r="E313" s="3"/>
      <c r="F313" s="3"/>
      <c r="G313" s="3"/>
    </row>
    <row r="314" spans="1:7" x14ac:dyDescent="0.2">
      <c r="A314" s="3"/>
      <c r="B314" s="4"/>
      <c r="C314" s="4"/>
      <c r="D314" s="3"/>
      <c r="E314" s="3"/>
      <c r="F314" s="3"/>
      <c r="G314" s="3"/>
    </row>
    <row r="315" spans="1:7" x14ac:dyDescent="0.2">
      <c r="A315" s="3"/>
      <c r="B315" s="4"/>
      <c r="C315" s="4"/>
      <c r="D315" s="3"/>
      <c r="E315" s="3"/>
      <c r="F315" s="3"/>
      <c r="G315" s="3"/>
    </row>
    <row r="316" spans="1:7" x14ac:dyDescent="0.2">
      <c r="A316" s="3"/>
      <c r="B316" s="4"/>
      <c r="C316" s="4"/>
      <c r="D316" s="3"/>
      <c r="E316" s="3"/>
      <c r="F316" s="3"/>
      <c r="G316" s="3"/>
    </row>
    <row r="317" spans="1:7" x14ac:dyDescent="0.2">
      <c r="A317" s="3"/>
      <c r="B317" s="4"/>
      <c r="C317" s="4"/>
      <c r="D317" s="3"/>
      <c r="E317" s="3"/>
      <c r="F317" s="3"/>
      <c r="G317" s="3"/>
    </row>
    <row r="318" spans="1:7" x14ac:dyDescent="0.2">
      <c r="A318" s="3"/>
      <c r="B318" s="4"/>
      <c r="C318" s="4"/>
      <c r="D318" s="3"/>
      <c r="E318" s="3"/>
      <c r="F318" s="3"/>
      <c r="G318" s="3"/>
    </row>
    <row r="319" spans="1:7" x14ac:dyDescent="0.2">
      <c r="A319" s="3"/>
      <c r="B319" s="4"/>
      <c r="C319" s="4"/>
      <c r="D319" s="3"/>
      <c r="E319" s="3"/>
      <c r="F319" s="3"/>
      <c r="G319" s="3"/>
    </row>
    <row r="320" spans="1:7" x14ac:dyDescent="0.2">
      <c r="A320" s="3"/>
      <c r="B320" s="4"/>
      <c r="C320" s="4"/>
      <c r="D320" s="3"/>
      <c r="E320" s="3"/>
      <c r="F320" s="3"/>
      <c r="G320" s="3"/>
    </row>
    <row r="321" spans="1:7" x14ac:dyDescent="0.2">
      <c r="A321" s="3"/>
      <c r="B321" s="4"/>
      <c r="C321" s="4"/>
      <c r="D321" s="3"/>
      <c r="E321" s="3"/>
      <c r="F321" s="3"/>
      <c r="G321" s="3"/>
    </row>
    <row r="322" spans="1:7" x14ac:dyDescent="0.2">
      <c r="A322" s="3"/>
      <c r="B322" s="4"/>
      <c r="C322" s="4"/>
      <c r="D322" s="3"/>
      <c r="E322" s="3"/>
      <c r="F322" s="3"/>
      <c r="G322" s="3"/>
    </row>
    <row r="323" spans="1:7" x14ac:dyDescent="0.2">
      <c r="A323" s="3"/>
      <c r="B323" s="4"/>
      <c r="C323" s="4"/>
      <c r="D323" s="3"/>
      <c r="E323" s="3"/>
      <c r="F323" s="3"/>
      <c r="G323" s="3"/>
    </row>
    <row r="324" spans="1:7" x14ac:dyDescent="0.2">
      <c r="A324" s="3"/>
      <c r="B324" s="4"/>
      <c r="C324" s="4"/>
      <c r="D324" s="3"/>
      <c r="E324" s="3"/>
      <c r="F324" s="3"/>
      <c r="G324" s="3"/>
    </row>
    <row r="325" spans="1:7" x14ac:dyDescent="0.2">
      <c r="A325" s="3"/>
      <c r="B325" s="4"/>
      <c r="C325" s="4"/>
      <c r="D325" s="3"/>
      <c r="E325" s="3"/>
      <c r="F325" s="3"/>
      <c r="G325" s="3"/>
    </row>
    <row r="326" spans="1:7" x14ac:dyDescent="0.2">
      <c r="A326" s="3"/>
      <c r="B326" s="4"/>
      <c r="C326" s="4"/>
      <c r="D326" s="3"/>
      <c r="E326" s="3"/>
      <c r="F326" s="3"/>
      <c r="G326" s="3"/>
    </row>
    <row r="327" spans="1:7" x14ac:dyDescent="0.2">
      <c r="A327" s="3"/>
      <c r="B327" s="4"/>
      <c r="C327" s="4"/>
      <c r="D327" s="3"/>
      <c r="E327" s="3"/>
      <c r="F327" s="3"/>
      <c r="G327" s="3"/>
    </row>
    <row r="328" spans="1:7" x14ac:dyDescent="0.2">
      <c r="A328" s="3"/>
      <c r="B328" s="4"/>
      <c r="C328" s="4"/>
      <c r="D328" s="3"/>
      <c r="E328" s="3"/>
      <c r="F328" s="3"/>
      <c r="G328" s="3"/>
    </row>
    <row r="329" spans="1:7" x14ac:dyDescent="0.2">
      <c r="A329" s="3"/>
      <c r="B329" s="4"/>
      <c r="C329" s="4"/>
      <c r="D329" s="3"/>
      <c r="E329" s="3"/>
      <c r="F329" s="3"/>
      <c r="G329" s="3"/>
    </row>
    <row r="330" spans="1:7" x14ac:dyDescent="0.2">
      <c r="A330" s="3"/>
      <c r="B330" s="4"/>
      <c r="C330" s="4"/>
      <c r="D330" s="3"/>
      <c r="E330" s="3"/>
      <c r="F330" s="3"/>
      <c r="G330" s="3"/>
    </row>
    <row r="331" spans="1:7" x14ac:dyDescent="0.2">
      <c r="A331" s="3"/>
      <c r="B331" s="4"/>
      <c r="C331" s="4"/>
      <c r="D331" s="3"/>
      <c r="E331" s="3"/>
      <c r="F331" s="3"/>
      <c r="G331" s="3"/>
    </row>
    <row r="332" spans="1:7" x14ac:dyDescent="0.2">
      <c r="A332" s="3"/>
      <c r="B332" s="4"/>
      <c r="C332" s="4"/>
      <c r="D332" s="3"/>
      <c r="E332" s="3"/>
      <c r="F332" s="3"/>
      <c r="G332" s="3"/>
    </row>
    <row r="333" spans="1:7" x14ac:dyDescent="0.2">
      <c r="A333" s="3"/>
      <c r="B333" s="4"/>
      <c r="C333" s="4"/>
      <c r="D333" s="3"/>
      <c r="E333" s="3"/>
      <c r="F333" s="3"/>
      <c r="G333" s="3"/>
    </row>
    <row r="334" spans="1:7" x14ac:dyDescent="0.2">
      <c r="A334" s="3"/>
      <c r="B334" s="4"/>
      <c r="C334" s="4"/>
      <c r="D334" s="3"/>
      <c r="E334" s="3"/>
      <c r="F334" s="3"/>
      <c r="G334" s="3"/>
    </row>
    <row r="335" spans="1:7" x14ac:dyDescent="0.2">
      <c r="A335" s="3"/>
      <c r="B335" s="4"/>
      <c r="C335" s="4"/>
      <c r="D335" s="3"/>
      <c r="E335" s="3"/>
      <c r="F335" s="3"/>
      <c r="G335" s="3"/>
    </row>
    <row r="336" spans="1:7" x14ac:dyDescent="0.2">
      <c r="A336" s="3"/>
      <c r="B336" s="4"/>
      <c r="C336" s="4"/>
      <c r="D336" s="3"/>
      <c r="E336" s="3"/>
      <c r="F336" s="3"/>
      <c r="G336" s="3"/>
    </row>
    <row r="337" spans="1:7" x14ac:dyDescent="0.2">
      <c r="A337" s="3"/>
      <c r="B337" s="4"/>
      <c r="C337" s="4"/>
      <c r="D337" s="3"/>
      <c r="E337" s="3"/>
      <c r="F337" s="3"/>
      <c r="G337" s="3"/>
    </row>
    <row r="338" spans="1:7" x14ac:dyDescent="0.2">
      <c r="A338" s="3"/>
      <c r="B338" s="4"/>
      <c r="C338" s="4"/>
      <c r="D338" s="3"/>
      <c r="E338" s="3"/>
      <c r="F338" s="3"/>
      <c r="G338" s="3"/>
    </row>
    <row r="339" spans="1:7" x14ac:dyDescent="0.2">
      <c r="A339" s="3"/>
      <c r="B339" s="4"/>
      <c r="C339" s="4"/>
      <c r="D339" s="3"/>
      <c r="E339" s="3"/>
      <c r="F339" s="3"/>
      <c r="G339" s="3"/>
    </row>
    <row r="340" spans="1:7" x14ac:dyDescent="0.2">
      <c r="A340" s="3"/>
      <c r="B340" s="4"/>
      <c r="C340" s="4"/>
      <c r="D340" s="3"/>
      <c r="E340" s="3"/>
      <c r="F340" s="3"/>
      <c r="G340" s="3"/>
    </row>
    <row r="341" spans="1:7" x14ac:dyDescent="0.2">
      <c r="A341" s="3"/>
      <c r="B341" s="4"/>
      <c r="C341" s="4"/>
      <c r="D341" s="3"/>
      <c r="E341" s="3"/>
      <c r="F341" s="3"/>
      <c r="G341" s="3"/>
    </row>
    <row r="342" spans="1:7" x14ac:dyDescent="0.2">
      <c r="A342" s="3"/>
      <c r="B342" s="4"/>
      <c r="C342" s="4"/>
      <c r="D342" s="3"/>
      <c r="E342" s="3"/>
      <c r="F342" s="3"/>
      <c r="G342" s="3"/>
    </row>
    <row r="343" spans="1:7" x14ac:dyDescent="0.2">
      <c r="A343" s="3"/>
      <c r="B343" s="4"/>
      <c r="C343" s="4"/>
      <c r="D343" s="3"/>
      <c r="E343" s="3"/>
      <c r="F343" s="3"/>
      <c r="G343" s="3"/>
    </row>
    <row r="344" spans="1:7" x14ac:dyDescent="0.2">
      <c r="A344" s="3"/>
      <c r="B344" s="4"/>
      <c r="C344" s="4"/>
      <c r="D344" s="3"/>
      <c r="E344" s="3"/>
      <c r="F344" s="3"/>
      <c r="G344" s="3"/>
    </row>
    <row r="345" spans="1:7" x14ac:dyDescent="0.2">
      <c r="A345" s="3"/>
      <c r="B345" s="4"/>
      <c r="C345" s="4"/>
      <c r="D345" s="3"/>
      <c r="E345" s="3"/>
      <c r="F345" s="3"/>
      <c r="G345" s="3"/>
    </row>
    <row r="346" spans="1:7" x14ac:dyDescent="0.2">
      <c r="A346" s="3"/>
      <c r="B346" s="4"/>
      <c r="C346" s="4"/>
      <c r="D346" s="3"/>
      <c r="E346" s="3"/>
      <c r="F346" s="3"/>
      <c r="G346" s="3"/>
    </row>
    <row r="347" spans="1:7" x14ac:dyDescent="0.2">
      <c r="A347" s="3"/>
      <c r="B347" s="4"/>
      <c r="C347" s="4"/>
      <c r="D347" s="3"/>
      <c r="E347" s="3"/>
      <c r="F347" s="3"/>
      <c r="G347" s="3"/>
    </row>
    <row r="348" spans="1:7" x14ac:dyDescent="0.2">
      <c r="A348" s="3"/>
      <c r="B348" s="4"/>
      <c r="C348" s="4"/>
      <c r="D348" s="3"/>
      <c r="E348" s="3"/>
      <c r="F348" s="3"/>
      <c r="G348" s="3"/>
    </row>
    <row r="349" spans="1:7" x14ac:dyDescent="0.2">
      <c r="A349" s="3"/>
      <c r="B349" s="4"/>
      <c r="C349" s="4"/>
      <c r="D349" s="3"/>
      <c r="E349" s="3"/>
      <c r="F349" s="3"/>
      <c r="G349" s="3"/>
    </row>
    <row r="350" spans="1:7" x14ac:dyDescent="0.2">
      <c r="A350" s="3"/>
      <c r="B350" s="4"/>
      <c r="C350" s="4"/>
      <c r="D350" s="3"/>
      <c r="E350" s="3"/>
      <c r="F350" s="3"/>
      <c r="G350" s="3"/>
    </row>
    <row r="351" spans="1:7" x14ac:dyDescent="0.2">
      <c r="A351" s="3"/>
      <c r="B351" s="4"/>
      <c r="C351" s="4"/>
      <c r="D351" s="3"/>
      <c r="E351" s="3"/>
      <c r="F351" s="3"/>
      <c r="G351" s="3"/>
    </row>
    <row r="352" spans="1:7" x14ac:dyDescent="0.2">
      <c r="A352" s="3"/>
      <c r="B352" s="4"/>
      <c r="C352" s="4"/>
      <c r="D352" s="3"/>
      <c r="E352" s="3"/>
      <c r="F352" s="3"/>
      <c r="G352" s="3"/>
    </row>
    <row r="353" spans="1:7" x14ac:dyDescent="0.2">
      <c r="A353" s="3"/>
      <c r="B353" s="4"/>
      <c r="C353" s="4"/>
      <c r="D353" s="3"/>
      <c r="E353" s="3"/>
      <c r="F353" s="3"/>
      <c r="G353" s="3"/>
    </row>
    <row r="354" spans="1:7" x14ac:dyDescent="0.2">
      <c r="A354" s="3"/>
      <c r="B354" s="4"/>
      <c r="C354" s="4"/>
      <c r="D354" s="3"/>
      <c r="E354" s="3"/>
      <c r="F354" s="3"/>
      <c r="G354" s="3"/>
    </row>
    <row r="355" spans="1:7" x14ac:dyDescent="0.2">
      <c r="A355" s="3"/>
      <c r="B355" s="4"/>
      <c r="C355" s="4"/>
      <c r="D355" s="3"/>
      <c r="E355" s="3"/>
      <c r="F355" s="3"/>
      <c r="G355" s="3"/>
    </row>
    <row r="356" spans="1:7" x14ac:dyDescent="0.2">
      <c r="A356" s="3"/>
      <c r="B356" s="4"/>
      <c r="C356" s="4"/>
      <c r="D356" s="3"/>
      <c r="E356" s="3"/>
      <c r="F356" s="3"/>
      <c r="G356" s="3"/>
    </row>
    <row r="357" spans="1:7" x14ac:dyDescent="0.2">
      <c r="A357" s="3"/>
      <c r="B357" s="4"/>
      <c r="C357" s="4"/>
      <c r="D357" s="3"/>
      <c r="E357" s="3"/>
      <c r="F357" s="3"/>
      <c r="G357" s="3"/>
    </row>
    <row r="358" spans="1:7" x14ac:dyDescent="0.2">
      <c r="A358" s="3"/>
      <c r="B358" s="4"/>
      <c r="C358" s="4"/>
      <c r="D358" s="3"/>
      <c r="E358" s="3"/>
      <c r="F358" s="3"/>
      <c r="G358" s="3"/>
    </row>
    <row r="359" spans="1:7" x14ac:dyDescent="0.2">
      <c r="A359" s="3"/>
      <c r="B359" s="4"/>
      <c r="C359" s="4"/>
      <c r="D359" s="3"/>
      <c r="E359" s="3"/>
      <c r="F359" s="3"/>
      <c r="G359" s="3"/>
    </row>
    <row r="360" spans="1:7" x14ac:dyDescent="0.2">
      <c r="A360" s="3"/>
      <c r="B360" s="4"/>
      <c r="C360" s="4"/>
      <c r="D360" s="3"/>
      <c r="E360" s="3"/>
      <c r="F360" s="3"/>
      <c r="G360" s="3"/>
    </row>
    <row r="361" spans="1:7" x14ac:dyDescent="0.2">
      <c r="A361" s="3"/>
      <c r="B361" s="4"/>
      <c r="C361" s="4"/>
      <c r="D361" s="3"/>
      <c r="E361" s="3"/>
      <c r="F361" s="3"/>
      <c r="G361" s="3"/>
    </row>
    <row r="362" spans="1:7" x14ac:dyDescent="0.2">
      <c r="A362" s="3"/>
      <c r="B362" s="4"/>
      <c r="C362" s="4"/>
      <c r="D362" s="3"/>
      <c r="E362" s="3"/>
      <c r="F362" s="3"/>
      <c r="G362" s="3"/>
    </row>
    <row r="363" spans="1:7" x14ac:dyDescent="0.2">
      <c r="A363" s="3"/>
      <c r="B363" s="4"/>
      <c r="C363" s="4"/>
      <c r="D363" s="3"/>
      <c r="E363" s="3"/>
      <c r="F363" s="3"/>
      <c r="G363" s="3"/>
    </row>
    <row r="364" spans="1:7" x14ac:dyDescent="0.2">
      <c r="A364" s="3"/>
      <c r="B364" s="4"/>
      <c r="C364" s="4"/>
      <c r="D364" s="3"/>
      <c r="E364" s="3"/>
      <c r="F364" s="3"/>
      <c r="G364" s="3"/>
    </row>
    <row r="365" spans="1:7" x14ac:dyDescent="0.2">
      <c r="A365" s="3"/>
      <c r="B365" s="4"/>
      <c r="C365" s="4"/>
      <c r="D365" s="3"/>
      <c r="E365" s="3"/>
      <c r="F365" s="3"/>
      <c r="G365" s="3"/>
    </row>
    <row r="366" spans="1:7" x14ac:dyDescent="0.2">
      <c r="A366" s="3"/>
      <c r="B366" s="4"/>
      <c r="C366" s="4"/>
      <c r="D366" s="3"/>
      <c r="E366" s="3"/>
      <c r="F366" s="3"/>
      <c r="G366" s="3"/>
    </row>
    <row r="367" spans="1:7" x14ac:dyDescent="0.2">
      <c r="A367" s="3"/>
      <c r="B367" s="4"/>
      <c r="C367" s="4"/>
      <c r="D367" s="3"/>
      <c r="E367" s="3"/>
      <c r="F367" s="3"/>
      <c r="G367" s="3"/>
    </row>
    <row r="368" spans="1:7" x14ac:dyDescent="0.2">
      <c r="A368" s="3"/>
      <c r="B368" s="4"/>
      <c r="C368" s="4"/>
      <c r="D368" s="3"/>
      <c r="E368" s="3"/>
      <c r="F368" s="3"/>
      <c r="G368" s="3"/>
    </row>
    <row r="369" spans="1:7" x14ac:dyDescent="0.2">
      <c r="A369" s="3"/>
      <c r="B369" s="4"/>
      <c r="C369" s="4"/>
      <c r="D369" s="3"/>
      <c r="E369" s="3"/>
      <c r="F369" s="3"/>
      <c r="G369" s="3"/>
    </row>
    <row r="370" spans="1:7" x14ac:dyDescent="0.2">
      <c r="A370" s="3"/>
      <c r="B370" s="4"/>
      <c r="C370" s="4"/>
      <c r="D370" s="3"/>
      <c r="E370" s="3"/>
      <c r="F370" s="3"/>
      <c r="G370" s="3"/>
    </row>
    <row r="371" spans="1:7" x14ac:dyDescent="0.2">
      <c r="A371" s="3"/>
      <c r="B371" s="4"/>
      <c r="C371" s="4"/>
      <c r="D371" s="3"/>
      <c r="E371" s="3"/>
      <c r="F371" s="3"/>
      <c r="G371" s="3"/>
    </row>
    <row r="372" spans="1:7" x14ac:dyDescent="0.2">
      <c r="A372" s="3"/>
      <c r="B372" s="4"/>
      <c r="C372" s="4"/>
      <c r="D372" s="3"/>
      <c r="E372" s="3"/>
      <c r="F372" s="3"/>
      <c r="G372" s="3"/>
    </row>
    <row r="373" spans="1:7" x14ac:dyDescent="0.2">
      <c r="A373" s="3"/>
      <c r="B373" s="4"/>
      <c r="C373" s="4"/>
      <c r="D373" s="3"/>
      <c r="E373" s="3"/>
      <c r="F373" s="3"/>
      <c r="G373" s="3"/>
    </row>
    <row r="374" spans="1:7" x14ac:dyDescent="0.2">
      <c r="A374" s="3"/>
      <c r="B374" s="4"/>
      <c r="C374" s="4"/>
      <c r="D374" s="3"/>
      <c r="E374" s="3"/>
      <c r="F374" s="3"/>
      <c r="G374" s="3"/>
    </row>
    <row r="375" spans="1:7" x14ac:dyDescent="0.2">
      <c r="A375" s="3"/>
      <c r="B375" s="4"/>
      <c r="C375" s="4"/>
      <c r="D375" s="3"/>
      <c r="E375" s="3"/>
      <c r="F375" s="3"/>
      <c r="G375" s="3"/>
    </row>
    <row r="376" spans="1:7" x14ac:dyDescent="0.2">
      <c r="A376" s="3"/>
      <c r="B376" s="4"/>
      <c r="C376" s="4"/>
      <c r="D376" s="3"/>
      <c r="E376" s="3"/>
      <c r="F376" s="3"/>
      <c r="G376" s="3"/>
    </row>
    <row r="377" spans="1:7" x14ac:dyDescent="0.2">
      <c r="A377" s="3"/>
      <c r="B377" s="4"/>
      <c r="C377" s="4"/>
      <c r="D377" s="3"/>
      <c r="E377" s="3"/>
      <c r="F377" s="3"/>
      <c r="G377" s="3"/>
    </row>
    <row r="378" spans="1:7" x14ac:dyDescent="0.2">
      <c r="A378" s="3"/>
      <c r="B378" s="4"/>
      <c r="C378" s="4"/>
      <c r="D378" s="3"/>
      <c r="E378" s="3"/>
      <c r="F378" s="3"/>
      <c r="G378" s="3"/>
    </row>
    <row r="379" spans="1:7" x14ac:dyDescent="0.2">
      <c r="A379" s="3"/>
      <c r="B379" s="4"/>
      <c r="C379" s="4"/>
      <c r="D379" s="3"/>
      <c r="E379" s="3"/>
      <c r="F379" s="3"/>
      <c r="G379" s="3"/>
    </row>
    <row r="380" spans="1:7" x14ac:dyDescent="0.2">
      <c r="A380" s="3"/>
      <c r="B380" s="4"/>
      <c r="C380" s="4"/>
      <c r="D380" s="3"/>
      <c r="E380" s="3"/>
      <c r="F380" s="3"/>
      <c r="G380" s="3"/>
    </row>
    <row r="381" spans="1:7" x14ac:dyDescent="0.2">
      <c r="A381" s="3"/>
      <c r="B381" s="4"/>
      <c r="C381" s="4"/>
      <c r="D381" s="3"/>
      <c r="E381" s="3"/>
      <c r="F381" s="3"/>
      <c r="G381" s="3"/>
    </row>
    <row r="382" spans="1:7" x14ac:dyDescent="0.2">
      <c r="A382" s="3"/>
      <c r="B382" s="4"/>
      <c r="C382" s="4"/>
      <c r="D382" s="3"/>
      <c r="E382" s="3"/>
      <c r="F382" s="3"/>
      <c r="G382" s="3"/>
    </row>
    <row r="383" spans="1:7" x14ac:dyDescent="0.2">
      <c r="A383" s="3"/>
      <c r="B383" s="4"/>
      <c r="C383" s="4"/>
      <c r="D383" s="3"/>
      <c r="E383" s="3"/>
      <c r="F383" s="3"/>
      <c r="G383" s="3"/>
    </row>
    <row r="384" spans="1:7" x14ac:dyDescent="0.2">
      <c r="A384" s="3"/>
      <c r="B384" s="4"/>
      <c r="C384" s="4"/>
      <c r="D384" s="3"/>
      <c r="E384" s="3"/>
      <c r="F384" s="3"/>
      <c r="G384" s="3"/>
    </row>
    <row r="385" spans="1:7" x14ac:dyDescent="0.2">
      <c r="A385" s="3"/>
      <c r="B385" s="4"/>
      <c r="C385" s="4"/>
      <c r="D385" s="3"/>
      <c r="E385" s="3"/>
      <c r="F385" s="3"/>
      <c r="G385" s="3"/>
    </row>
    <row r="386" spans="1:7" x14ac:dyDescent="0.2">
      <c r="A386" s="3"/>
      <c r="B386" s="4"/>
      <c r="C386" s="4"/>
      <c r="D386" s="3"/>
      <c r="E386" s="3"/>
      <c r="F386" s="3"/>
      <c r="G386" s="3"/>
    </row>
    <row r="387" spans="1:7" x14ac:dyDescent="0.2">
      <c r="A387" s="3"/>
      <c r="B387" s="4"/>
      <c r="C387" s="4"/>
      <c r="D387" s="3"/>
      <c r="E387" s="3"/>
      <c r="F387" s="3"/>
      <c r="G387" s="3"/>
    </row>
    <row r="388" spans="1:7" x14ac:dyDescent="0.2">
      <c r="A388" s="3"/>
      <c r="B388" s="4"/>
      <c r="C388" s="4"/>
      <c r="D388" s="3"/>
      <c r="E388" s="3"/>
      <c r="F388" s="3"/>
      <c r="G388" s="3"/>
    </row>
    <row r="389" spans="1:7" x14ac:dyDescent="0.2">
      <c r="A389" s="3"/>
      <c r="B389" s="4"/>
      <c r="C389" s="4"/>
      <c r="D389" s="3"/>
      <c r="E389" s="3"/>
      <c r="F389" s="3"/>
      <c r="G389" s="3"/>
    </row>
    <row r="390" spans="1:7" x14ac:dyDescent="0.2">
      <c r="A390" s="3"/>
      <c r="B390" s="4"/>
      <c r="C390" s="4"/>
      <c r="D390" s="3"/>
      <c r="E390" s="3"/>
      <c r="F390" s="3"/>
      <c r="G390" s="3"/>
    </row>
    <row r="391" spans="1:7" x14ac:dyDescent="0.2">
      <c r="A391" s="3"/>
      <c r="B391" s="4"/>
      <c r="C391" s="4"/>
      <c r="D391" s="3"/>
      <c r="E391" s="3"/>
      <c r="F391" s="3"/>
      <c r="G391" s="3"/>
    </row>
    <row r="392" spans="1:7" x14ac:dyDescent="0.2">
      <c r="A392" s="3"/>
      <c r="B392" s="4"/>
      <c r="C392" s="4"/>
      <c r="D392" s="3"/>
      <c r="E392" s="3"/>
      <c r="F392" s="3"/>
      <c r="G392" s="3"/>
    </row>
    <row r="393" spans="1:7" x14ac:dyDescent="0.2">
      <c r="A393" s="3"/>
      <c r="B393" s="4"/>
      <c r="C393" s="4"/>
      <c r="D393" s="3"/>
      <c r="E393" s="3"/>
      <c r="F393" s="3"/>
      <c r="G393" s="3"/>
    </row>
    <row r="394" spans="1:7" x14ac:dyDescent="0.2">
      <c r="A394" s="3"/>
      <c r="B394" s="4"/>
      <c r="C394" s="4"/>
      <c r="D394" s="3"/>
      <c r="E394" s="3"/>
      <c r="F394" s="3"/>
      <c r="G394" s="3"/>
    </row>
    <row r="395" spans="1:7" x14ac:dyDescent="0.2">
      <c r="A395" s="3"/>
      <c r="B395" s="4"/>
      <c r="C395" s="4"/>
      <c r="D395" s="3"/>
      <c r="E395" s="3"/>
      <c r="F395" s="3"/>
      <c r="G395" s="3"/>
    </row>
    <row r="396" spans="1:7" x14ac:dyDescent="0.2">
      <c r="A396" s="3"/>
      <c r="B396" s="4"/>
      <c r="C396" s="4"/>
      <c r="D396" s="3"/>
      <c r="E396" s="3"/>
      <c r="F396" s="3"/>
      <c r="G396" s="3"/>
    </row>
    <row r="397" spans="1:7" x14ac:dyDescent="0.2">
      <c r="A397" s="3"/>
      <c r="B397" s="4"/>
      <c r="C397" s="4"/>
      <c r="D397" s="3"/>
      <c r="E397" s="3"/>
      <c r="F397" s="3"/>
      <c r="G397" s="3"/>
    </row>
    <row r="398" spans="1:7" x14ac:dyDescent="0.2">
      <c r="A398" s="3"/>
      <c r="B398" s="4"/>
      <c r="C398" s="4"/>
      <c r="D398" s="3"/>
      <c r="E398" s="3"/>
      <c r="F398" s="3"/>
      <c r="G398" s="3"/>
    </row>
    <row r="399" spans="1:7" x14ac:dyDescent="0.2">
      <c r="A399" s="3"/>
      <c r="B399" s="4"/>
      <c r="C399" s="4"/>
      <c r="D399" s="3"/>
      <c r="E399" s="3"/>
      <c r="F399" s="3"/>
      <c r="G399" s="3"/>
    </row>
    <row r="400" spans="1:7" x14ac:dyDescent="0.2">
      <c r="A400" s="3"/>
      <c r="B400" s="4"/>
      <c r="C400" s="4"/>
      <c r="D400" s="3"/>
      <c r="E400" s="3"/>
      <c r="F400" s="3"/>
      <c r="G400" s="3"/>
    </row>
    <row r="401" spans="1:7" x14ac:dyDescent="0.2">
      <c r="A401" s="3"/>
      <c r="B401" s="4"/>
      <c r="C401" s="4"/>
      <c r="D401" s="3"/>
      <c r="E401" s="3"/>
      <c r="F401" s="3"/>
      <c r="G401" s="3"/>
    </row>
    <row r="402" spans="1:7" x14ac:dyDescent="0.2">
      <c r="A402" s="3"/>
      <c r="B402" s="4"/>
      <c r="C402" s="4"/>
      <c r="D402" s="3"/>
      <c r="E402" s="3"/>
      <c r="F402" s="3"/>
      <c r="G402" s="3"/>
    </row>
    <row r="403" spans="1:7" x14ac:dyDescent="0.2">
      <c r="A403" s="3"/>
      <c r="B403" s="4"/>
      <c r="C403" s="4"/>
      <c r="D403" s="3"/>
      <c r="E403" s="3"/>
      <c r="F403" s="3"/>
      <c r="G403" s="3"/>
    </row>
    <row r="404" spans="1:7" x14ac:dyDescent="0.2">
      <c r="A404" s="3"/>
      <c r="B404" s="4"/>
      <c r="C404" s="4"/>
      <c r="D404" s="3"/>
      <c r="E404" s="3"/>
      <c r="F404" s="3"/>
      <c r="G404" s="3"/>
    </row>
    <row r="405" spans="1:7" x14ac:dyDescent="0.2">
      <c r="A405" s="3"/>
      <c r="B405" s="4"/>
      <c r="C405" s="4"/>
      <c r="D405" s="3"/>
      <c r="E405" s="3"/>
      <c r="F405" s="3"/>
      <c r="G405" s="3"/>
    </row>
    <row r="406" spans="1:7" x14ac:dyDescent="0.2">
      <c r="A406" s="3"/>
      <c r="B406" s="4"/>
      <c r="C406" s="4"/>
      <c r="D406" s="3"/>
      <c r="E406" s="3"/>
      <c r="F406" s="3"/>
      <c r="G406" s="3"/>
    </row>
    <row r="407" spans="1:7" x14ac:dyDescent="0.2">
      <c r="A407" s="3"/>
      <c r="B407" s="4"/>
      <c r="C407" s="4"/>
      <c r="D407" s="3"/>
      <c r="E407" s="3"/>
      <c r="F407" s="3"/>
      <c r="G407" s="3"/>
    </row>
    <row r="408" spans="1:7" x14ac:dyDescent="0.2">
      <c r="A408" s="3"/>
      <c r="B408" s="4"/>
      <c r="C408" s="4"/>
      <c r="D408" s="3"/>
      <c r="E408" s="3"/>
      <c r="F408" s="3"/>
      <c r="G408" s="3"/>
    </row>
    <row r="409" spans="1:7" x14ac:dyDescent="0.2">
      <c r="A409" s="3"/>
      <c r="B409" s="4"/>
      <c r="C409" s="4"/>
      <c r="D409" s="3"/>
      <c r="E409" s="3"/>
      <c r="F409" s="3"/>
      <c r="G409" s="3"/>
    </row>
    <row r="410" spans="1:7" x14ac:dyDescent="0.2">
      <c r="A410" s="3"/>
      <c r="B410" s="4"/>
      <c r="C410" s="4"/>
      <c r="D410" s="3"/>
      <c r="E410" s="3"/>
      <c r="F410" s="3"/>
      <c r="G410" s="3"/>
    </row>
    <row r="411" spans="1:7" x14ac:dyDescent="0.2">
      <c r="A411" s="3"/>
      <c r="B411" s="4"/>
      <c r="C411" s="4"/>
      <c r="D411" s="3"/>
      <c r="E411" s="3"/>
      <c r="F411" s="3"/>
      <c r="G411" s="3"/>
    </row>
    <row r="412" spans="1:7" x14ac:dyDescent="0.2">
      <c r="A412" s="3"/>
      <c r="B412" s="4"/>
      <c r="C412" s="4"/>
      <c r="D412" s="3"/>
      <c r="E412" s="3"/>
      <c r="F412" s="3"/>
      <c r="G412" s="3"/>
    </row>
    <row r="413" spans="1:7" x14ac:dyDescent="0.2">
      <c r="A413" s="3"/>
      <c r="B413" s="4"/>
      <c r="C413" s="4"/>
      <c r="D413" s="3"/>
      <c r="E413" s="3"/>
      <c r="F413" s="3"/>
      <c r="G413" s="3"/>
    </row>
    <row r="414" spans="1:7" x14ac:dyDescent="0.2">
      <c r="A414" s="3"/>
      <c r="B414" s="4"/>
      <c r="C414" s="4"/>
      <c r="D414" s="3"/>
      <c r="E414" s="3"/>
      <c r="F414" s="3"/>
      <c r="G414" s="3"/>
    </row>
    <row r="415" spans="1:7" x14ac:dyDescent="0.2">
      <c r="A415" s="3"/>
      <c r="B415" s="4"/>
      <c r="C415" s="4"/>
      <c r="D415" s="3"/>
      <c r="E415" s="3"/>
      <c r="F415" s="3"/>
      <c r="G415" s="3"/>
    </row>
    <row r="416" spans="1:7" x14ac:dyDescent="0.2">
      <c r="A416" s="3"/>
      <c r="B416" s="4"/>
      <c r="C416" s="4"/>
      <c r="D416" s="3"/>
      <c r="E416" s="3"/>
      <c r="F416" s="3"/>
      <c r="G416" s="3"/>
    </row>
    <row r="417" spans="1:7" x14ac:dyDescent="0.2">
      <c r="A417" s="3"/>
      <c r="B417" s="4"/>
      <c r="C417" s="4"/>
      <c r="D417" s="3"/>
      <c r="E417" s="3"/>
      <c r="F417" s="3"/>
      <c r="G417" s="3"/>
    </row>
    <row r="418" spans="1:7" x14ac:dyDescent="0.2">
      <c r="A418" s="3"/>
      <c r="B418" s="4"/>
      <c r="C418" s="4"/>
      <c r="D418" s="3"/>
      <c r="E418" s="3"/>
      <c r="F418" s="3"/>
      <c r="G418" s="3"/>
    </row>
    <row r="419" spans="1:7" x14ac:dyDescent="0.2">
      <c r="A419" s="3"/>
      <c r="B419" s="4"/>
      <c r="C419" s="4"/>
      <c r="D419" s="3"/>
      <c r="E419" s="3"/>
      <c r="F419" s="3"/>
      <c r="G419" s="3"/>
    </row>
    <row r="420" spans="1:7" x14ac:dyDescent="0.2">
      <c r="A420" s="3"/>
      <c r="B420" s="4"/>
      <c r="C420" s="4"/>
      <c r="D420" s="3"/>
      <c r="E420" s="3"/>
      <c r="F420" s="3"/>
      <c r="G420" s="3"/>
    </row>
    <row r="421" spans="1:7" x14ac:dyDescent="0.2">
      <c r="A421" s="3"/>
      <c r="B421" s="4"/>
      <c r="C421" s="4"/>
      <c r="D421" s="3"/>
      <c r="E421" s="3"/>
      <c r="F421" s="3"/>
      <c r="G421" s="3"/>
    </row>
    <row r="422" spans="1:7" x14ac:dyDescent="0.2">
      <c r="A422" s="3"/>
      <c r="B422" s="4"/>
      <c r="C422" s="4"/>
      <c r="D422" s="3"/>
      <c r="E422" s="3"/>
      <c r="F422" s="3"/>
      <c r="G422" s="3"/>
    </row>
    <row r="423" spans="1:7" x14ac:dyDescent="0.2">
      <c r="A423" s="3"/>
      <c r="B423" s="4"/>
      <c r="C423" s="4"/>
      <c r="D423" s="3"/>
      <c r="E423" s="3"/>
      <c r="F423" s="3"/>
      <c r="G423" s="3"/>
    </row>
    <row r="424" spans="1:7" x14ac:dyDescent="0.2">
      <c r="A424" s="3"/>
      <c r="B424" s="4"/>
      <c r="C424" s="4"/>
      <c r="D424" s="3"/>
      <c r="E424" s="3"/>
      <c r="F424" s="3"/>
      <c r="G424" s="3"/>
    </row>
    <row r="425" spans="1:7" x14ac:dyDescent="0.2">
      <c r="A425" s="3"/>
      <c r="B425" s="4"/>
      <c r="C425" s="4"/>
      <c r="D425" s="3"/>
      <c r="E425" s="3"/>
      <c r="F425" s="3"/>
      <c r="G425" s="3"/>
    </row>
    <row r="426" spans="1:7" x14ac:dyDescent="0.2">
      <c r="A426" s="3"/>
      <c r="B426" s="4"/>
      <c r="C426" s="4"/>
      <c r="D426" s="3"/>
      <c r="E426" s="3"/>
      <c r="F426" s="3"/>
      <c r="G426" s="3"/>
    </row>
    <row r="427" spans="1:7" x14ac:dyDescent="0.2">
      <c r="A427" s="3"/>
      <c r="B427" s="4"/>
      <c r="C427" s="4"/>
      <c r="D427" s="3"/>
      <c r="E427" s="3"/>
      <c r="F427" s="3"/>
      <c r="G427" s="3"/>
    </row>
    <row r="428" spans="1:7" x14ac:dyDescent="0.2">
      <c r="A428" s="3"/>
      <c r="B428" s="4"/>
      <c r="C428" s="4"/>
      <c r="D428" s="3"/>
      <c r="E428" s="3"/>
      <c r="F428" s="3"/>
      <c r="G428" s="3"/>
    </row>
    <row r="429" spans="1:7" x14ac:dyDescent="0.2">
      <c r="A429" s="3"/>
      <c r="B429" s="4"/>
      <c r="C429" s="4"/>
      <c r="D429" s="3"/>
      <c r="E429" s="3"/>
      <c r="F429" s="3"/>
      <c r="G429" s="3"/>
    </row>
    <row r="430" spans="1:7" x14ac:dyDescent="0.2">
      <c r="A430" s="3"/>
      <c r="B430" s="4"/>
      <c r="C430" s="4"/>
      <c r="D430" s="3"/>
      <c r="E430" s="3"/>
      <c r="F430" s="3"/>
      <c r="G430" s="3"/>
    </row>
    <row r="431" spans="1:7" x14ac:dyDescent="0.2">
      <c r="A431" s="3"/>
      <c r="B431" s="4"/>
      <c r="C431" s="4"/>
      <c r="D431" s="3"/>
      <c r="E431" s="3"/>
      <c r="F431" s="3"/>
      <c r="G431" s="3"/>
    </row>
    <row r="432" spans="1:7" x14ac:dyDescent="0.2">
      <c r="A432" s="3"/>
      <c r="B432" s="4"/>
      <c r="C432" s="4"/>
      <c r="D432" s="3"/>
      <c r="E432" s="3"/>
      <c r="F432" s="3"/>
      <c r="G432" s="3"/>
    </row>
    <row r="433" spans="1:7" x14ac:dyDescent="0.2">
      <c r="A433" s="3"/>
      <c r="B433" s="4"/>
      <c r="C433" s="4"/>
      <c r="D433" s="3"/>
      <c r="E433" s="3"/>
      <c r="F433" s="3"/>
      <c r="G433" s="3"/>
    </row>
    <row r="434" spans="1:7" x14ac:dyDescent="0.2">
      <c r="A434" s="3"/>
      <c r="B434" s="4"/>
      <c r="C434" s="4"/>
      <c r="D434" s="3"/>
      <c r="E434" s="3"/>
      <c r="F434" s="3"/>
      <c r="G434" s="3"/>
    </row>
    <row r="435" spans="1:7" x14ac:dyDescent="0.2">
      <c r="A435" s="3"/>
      <c r="B435" s="4"/>
      <c r="C435" s="4"/>
      <c r="D435" s="3"/>
      <c r="E435" s="3"/>
      <c r="F435" s="3"/>
      <c r="G435" s="3"/>
    </row>
    <row r="436" spans="1:7" x14ac:dyDescent="0.2">
      <c r="A436" s="3"/>
      <c r="B436" s="4"/>
      <c r="C436" s="4"/>
      <c r="D436" s="3"/>
      <c r="E436" s="3"/>
      <c r="F436" s="3"/>
      <c r="G436" s="3"/>
    </row>
    <row r="437" spans="1:7" x14ac:dyDescent="0.2">
      <c r="A437" s="3"/>
      <c r="B437" s="4"/>
      <c r="C437" s="4"/>
      <c r="D437" s="3"/>
      <c r="E437" s="3"/>
      <c r="F437" s="3"/>
      <c r="G437" s="3"/>
    </row>
    <row r="438" spans="1:7" x14ac:dyDescent="0.2">
      <c r="A438" s="3"/>
      <c r="B438" s="4"/>
      <c r="C438" s="4"/>
      <c r="D438" s="3"/>
      <c r="E438" s="3"/>
      <c r="F438" s="3"/>
      <c r="G438" s="3"/>
    </row>
    <row r="439" spans="1:7" x14ac:dyDescent="0.2">
      <c r="A439" s="3"/>
      <c r="B439" s="4"/>
      <c r="C439" s="4"/>
      <c r="D439" s="3"/>
      <c r="E439" s="3"/>
      <c r="F439" s="3"/>
      <c r="G439" s="3"/>
    </row>
    <row r="440" spans="1:7" x14ac:dyDescent="0.2">
      <c r="A440" s="3"/>
      <c r="B440" s="4"/>
      <c r="C440" s="4"/>
      <c r="D440" s="3"/>
      <c r="E440" s="3"/>
      <c r="F440" s="3"/>
      <c r="G440" s="3"/>
    </row>
    <row r="441" spans="1:7" x14ac:dyDescent="0.2">
      <c r="A441" s="3"/>
      <c r="B441" s="4"/>
      <c r="C441" s="4"/>
      <c r="D441" s="3"/>
      <c r="E441" s="3"/>
      <c r="F441" s="3"/>
      <c r="G441" s="3"/>
    </row>
    <row r="442" spans="1:7" x14ac:dyDescent="0.2">
      <c r="A442" s="3"/>
      <c r="B442" s="4"/>
      <c r="C442" s="4"/>
      <c r="D442" s="3"/>
      <c r="E442" s="3"/>
      <c r="F442" s="3"/>
      <c r="G442" s="3"/>
    </row>
    <row r="443" spans="1:7" x14ac:dyDescent="0.2">
      <c r="A443" s="3"/>
      <c r="B443" s="4"/>
      <c r="C443" s="4"/>
      <c r="D443" s="3"/>
      <c r="E443" s="3"/>
      <c r="F443" s="3"/>
      <c r="G443" s="3"/>
    </row>
    <row r="444" spans="1:7" x14ac:dyDescent="0.2">
      <c r="A444" s="3"/>
      <c r="B444" s="4"/>
      <c r="C444" s="4"/>
      <c r="D444" s="3"/>
      <c r="E444" s="3"/>
      <c r="F444" s="3"/>
      <c r="G444" s="3"/>
    </row>
    <row r="445" spans="1:7" x14ac:dyDescent="0.2">
      <c r="A445" s="3"/>
      <c r="B445" s="4"/>
      <c r="C445" s="4"/>
      <c r="D445" s="3"/>
      <c r="E445" s="3"/>
      <c r="F445" s="3"/>
      <c r="G445" s="3"/>
    </row>
    <row r="446" spans="1:7" x14ac:dyDescent="0.2">
      <c r="A446" s="3"/>
      <c r="B446" s="4"/>
      <c r="C446" s="4"/>
      <c r="D446" s="3"/>
      <c r="E446" s="3"/>
      <c r="F446" s="3"/>
      <c r="G446" s="3"/>
    </row>
    <row r="447" spans="1:7" x14ac:dyDescent="0.2">
      <c r="A447" s="3"/>
      <c r="B447" s="4"/>
      <c r="C447" s="4"/>
      <c r="D447" s="3"/>
      <c r="E447" s="3"/>
      <c r="F447" s="3"/>
      <c r="G447" s="3"/>
    </row>
    <row r="448" spans="1:7" x14ac:dyDescent="0.2">
      <c r="A448" s="3"/>
      <c r="B448" s="4"/>
      <c r="C448" s="4"/>
      <c r="D448" s="3"/>
      <c r="E448" s="3"/>
      <c r="F448" s="3"/>
      <c r="G448" s="3"/>
    </row>
    <row r="449" spans="1:7" x14ac:dyDescent="0.2">
      <c r="A449" s="3"/>
      <c r="B449" s="4"/>
      <c r="C449" s="4"/>
      <c r="D449" s="3"/>
      <c r="E449" s="3"/>
      <c r="F449" s="3"/>
      <c r="G449" s="3"/>
    </row>
    <row r="450" spans="1:7" x14ac:dyDescent="0.2">
      <c r="A450" s="3"/>
      <c r="B450" s="4"/>
      <c r="C450" s="4"/>
      <c r="D450" s="3"/>
      <c r="E450" s="3"/>
      <c r="F450" s="3"/>
      <c r="G450" s="3"/>
    </row>
    <row r="451" spans="1:7" x14ac:dyDescent="0.2">
      <c r="A451" s="3"/>
      <c r="B451" s="4"/>
      <c r="C451" s="4"/>
      <c r="D451" s="3"/>
      <c r="E451" s="3"/>
      <c r="F451" s="3"/>
      <c r="G451" s="3"/>
    </row>
    <row r="452" spans="1:7" x14ac:dyDescent="0.2">
      <c r="A452" s="3"/>
      <c r="B452" s="4"/>
      <c r="C452" s="4"/>
      <c r="D452" s="3"/>
      <c r="E452" s="3"/>
      <c r="F452" s="3"/>
      <c r="G452" s="3"/>
    </row>
    <row r="453" spans="1:7" x14ac:dyDescent="0.2">
      <c r="A453" s="3"/>
      <c r="B453" s="4"/>
      <c r="C453" s="4"/>
      <c r="D453" s="3"/>
      <c r="E453" s="3"/>
      <c r="F453" s="3"/>
      <c r="G453" s="3"/>
    </row>
    <row r="454" spans="1:7" x14ac:dyDescent="0.2">
      <c r="A454" s="3"/>
      <c r="B454" s="4"/>
      <c r="C454" s="4"/>
      <c r="D454" s="3"/>
      <c r="E454" s="3"/>
      <c r="F454" s="3"/>
      <c r="G454" s="3"/>
    </row>
    <row r="455" spans="1:7" x14ac:dyDescent="0.2">
      <c r="A455" s="3"/>
      <c r="B455" s="4"/>
      <c r="C455" s="4"/>
      <c r="D455" s="3"/>
      <c r="E455" s="3"/>
      <c r="F455" s="3"/>
      <c r="G455" s="3"/>
    </row>
    <row r="456" spans="1:7" x14ac:dyDescent="0.2">
      <c r="A456" s="3"/>
      <c r="B456" s="4"/>
      <c r="C456" s="4"/>
      <c r="D456" s="3"/>
      <c r="E456" s="3"/>
      <c r="F456" s="3"/>
      <c r="G456" s="3"/>
    </row>
    <row r="457" spans="1:7" x14ac:dyDescent="0.2">
      <c r="A457" s="3"/>
      <c r="B457" s="4"/>
      <c r="C457" s="4"/>
      <c r="D457" s="3"/>
      <c r="E457" s="3"/>
      <c r="F457" s="3"/>
      <c r="G457" s="3"/>
    </row>
    <row r="458" spans="1:7" x14ac:dyDescent="0.2">
      <c r="A458" s="3"/>
      <c r="B458" s="4"/>
      <c r="C458" s="4"/>
      <c r="D458" s="3"/>
      <c r="E458" s="3"/>
      <c r="F458" s="3"/>
      <c r="G458" s="3"/>
    </row>
    <row r="459" spans="1:7" x14ac:dyDescent="0.2">
      <c r="A459" s="3"/>
      <c r="B459" s="4"/>
      <c r="C459" s="4"/>
      <c r="D459" s="3"/>
      <c r="E459" s="3"/>
      <c r="F459" s="3"/>
      <c r="G459" s="3"/>
    </row>
    <row r="460" spans="1:7" x14ac:dyDescent="0.2">
      <c r="A460" s="3"/>
      <c r="B460" s="4"/>
      <c r="C460" s="4"/>
      <c r="D460" s="3"/>
      <c r="E460" s="3"/>
      <c r="F460" s="3"/>
      <c r="G460" s="3"/>
    </row>
    <row r="461" spans="1:7" x14ac:dyDescent="0.2">
      <c r="A461" s="3"/>
      <c r="B461" s="4"/>
      <c r="C461" s="4"/>
      <c r="D461" s="3"/>
      <c r="E461" s="3"/>
      <c r="F461" s="3"/>
      <c r="G461" s="3"/>
    </row>
    <row r="462" spans="1:7" x14ac:dyDescent="0.2">
      <c r="A462" s="3"/>
      <c r="B462" s="4"/>
      <c r="C462" s="4"/>
      <c r="D462" s="3"/>
      <c r="E462" s="3"/>
      <c r="F462" s="3"/>
      <c r="G462" s="3"/>
    </row>
    <row r="463" spans="1:7" x14ac:dyDescent="0.2">
      <c r="A463" s="3"/>
      <c r="B463" s="4"/>
      <c r="C463" s="4"/>
      <c r="D463" s="3"/>
      <c r="E463" s="3"/>
      <c r="F463" s="3"/>
      <c r="G463" s="3"/>
    </row>
    <row r="464" spans="1:7" x14ac:dyDescent="0.2">
      <c r="A464" s="3"/>
      <c r="B464" s="4"/>
      <c r="C464" s="4"/>
      <c r="D464" s="3"/>
      <c r="E464" s="3"/>
      <c r="F464" s="3"/>
      <c r="G464" s="3"/>
    </row>
    <row r="465" spans="1:7" x14ac:dyDescent="0.2">
      <c r="A465" s="3"/>
      <c r="B465" s="4"/>
      <c r="C465" s="4"/>
      <c r="D465" s="3"/>
      <c r="E465" s="3"/>
      <c r="F465" s="3"/>
      <c r="G465" s="3"/>
    </row>
    <row r="466" spans="1:7" x14ac:dyDescent="0.2">
      <c r="A466" s="3"/>
      <c r="B466" s="4"/>
      <c r="C466" s="4"/>
      <c r="D466" s="3"/>
      <c r="E466" s="3"/>
      <c r="F466" s="3"/>
      <c r="G466" s="3"/>
    </row>
    <row r="467" spans="1:7" x14ac:dyDescent="0.2">
      <c r="A467" s="3"/>
      <c r="B467" s="4"/>
      <c r="C467" s="4"/>
      <c r="D467" s="3"/>
      <c r="E467" s="3"/>
      <c r="F467" s="3"/>
      <c r="G467" s="3"/>
    </row>
    <row r="468" spans="1:7" x14ac:dyDescent="0.2">
      <c r="A468" s="3"/>
      <c r="B468" s="4"/>
      <c r="C468" s="4"/>
      <c r="D468" s="3"/>
      <c r="E468" s="3"/>
      <c r="F468" s="3"/>
      <c r="G468" s="3"/>
    </row>
    <row r="469" spans="1:7" x14ac:dyDescent="0.2">
      <c r="A469" s="3"/>
      <c r="B469" s="4"/>
      <c r="C469" s="4"/>
      <c r="D469" s="3"/>
      <c r="E469" s="3"/>
      <c r="F469" s="3"/>
      <c r="G469" s="3"/>
    </row>
    <row r="470" spans="1:7" x14ac:dyDescent="0.2">
      <c r="A470" s="3"/>
      <c r="B470" s="4"/>
      <c r="C470" s="4"/>
      <c r="D470" s="3"/>
      <c r="E470" s="3"/>
      <c r="F470" s="3"/>
      <c r="G470" s="3"/>
    </row>
    <row r="471" spans="1:7" x14ac:dyDescent="0.2">
      <c r="A471" s="3"/>
      <c r="B471" s="4"/>
      <c r="C471" s="4"/>
      <c r="D471" s="3"/>
      <c r="E471" s="3"/>
      <c r="F471" s="3"/>
      <c r="G471" s="3"/>
    </row>
    <row r="472" spans="1:7" x14ac:dyDescent="0.2">
      <c r="A472" s="3"/>
      <c r="B472" s="4"/>
      <c r="C472" s="4"/>
      <c r="D472" s="3"/>
      <c r="E472" s="3"/>
      <c r="F472" s="3"/>
      <c r="G472" s="3"/>
    </row>
    <row r="473" spans="1:7" x14ac:dyDescent="0.2">
      <c r="A473" s="3"/>
      <c r="B473" s="4"/>
      <c r="C473" s="4"/>
      <c r="D473" s="3"/>
      <c r="E473" s="3"/>
      <c r="F473" s="3"/>
      <c r="G473" s="3"/>
    </row>
    <row r="474" spans="1:7" x14ac:dyDescent="0.2">
      <c r="A474" s="3"/>
      <c r="B474" s="4"/>
      <c r="C474" s="4"/>
      <c r="D474" s="3"/>
      <c r="E474" s="3"/>
      <c r="F474" s="3"/>
      <c r="G474" s="3"/>
    </row>
    <row r="475" spans="1:7" x14ac:dyDescent="0.2">
      <c r="A475" s="3"/>
      <c r="B475" s="4"/>
      <c r="C475" s="4"/>
      <c r="D475" s="3"/>
      <c r="E475" s="3"/>
      <c r="F475" s="3"/>
      <c r="G475" s="3"/>
    </row>
    <row r="476" spans="1:7" x14ac:dyDescent="0.2">
      <c r="A476" s="3"/>
      <c r="B476" s="4"/>
      <c r="C476" s="4"/>
      <c r="D476" s="3"/>
      <c r="E476" s="3"/>
      <c r="F476" s="3"/>
      <c r="G476" s="3"/>
    </row>
    <row r="477" spans="1:7" x14ac:dyDescent="0.2">
      <c r="A477" s="3"/>
      <c r="B477" s="4"/>
      <c r="C477" s="4"/>
      <c r="D477" s="3"/>
      <c r="E477" s="3"/>
      <c r="F477" s="3"/>
      <c r="G477" s="3"/>
    </row>
    <row r="478" spans="1:7" x14ac:dyDescent="0.2">
      <c r="A478" s="3"/>
      <c r="B478" s="4"/>
      <c r="C478" s="4"/>
      <c r="D478" s="3"/>
      <c r="E478" s="3"/>
      <c r="F478" s="3"/>
      <c r="G478" s="3"/>
    </row>
    <row r="479" spans="1:7" x14ac:dyDescent="0.2">
      <c r="A479" s="3"/>
      <c r="B479" s="4"/>
      <c r="C479" s="4"/>
      <c r="D479" s="3"/>
      <c r="E479" s="3"/>
      <c r="F479" s="3"/>
      <c r="G479" s="3"/>
    </row>
    <row r="480" spans="1:7" x14ac:dyDescent="0.2">
      <c r="A480" s="3"/>
      <c r="B480" s="4"/>
      <c r="C480" s="4"/>
      <c r="D480" s="3"/>
      <c r="E480" s="3"/>
      <c r="F480" s="3"/>
      <c r="G480" s="3"/>
    </row>
    <row r="481" spans="1:7" x14ac:dyDescent="0.2">
      <c r="A481" s="3"/>
      <c r="B481" s="4"/>
      <c r="C481" s="4"/>
      <c r="D481" s="3"/>
      <c r="E481" s="3"/>
      <c r="F481" s="3"/>
      <c r="G481" s="3"/>
    </row>
    <row r="482" spans="1:7" x14ac:dyDescent="0.2">
      <c r="A482" s="3"/>
      <c r="B482" s="4"/>
      <c r="C482" s="4"/>
      <c r="D482" s="3"/>
      <c r="E482" s="3"/>
      <c r="F482" s="3"/>
      <c r="G482" s="3"/>
    </row>
    <row r="483" spans="1:7" x14ac:dyDescent="0.2">
      <c r="A483" s="3"/>
      <c r="B483" s="4"/>
      <c r="C483" s="4"/>
      <c r="D483" s="3"/>
      <c r="E483" s="3"/>
      <c r="F483" s="3"/>
      <c r="G483" s="3"/>
    </row>
    <row r="484" spans="1:7" x14ac:dyDescent="0.2">
      <c r="A484" s="3"/>
      <c r="B484" s="4"/>
      <c r="C484" s="4"/>
      <c r="D484" s="3"/>
      <c r="E484" s="3"/>
      <c r="F484" s="3"/>
      <c r="G484" s="3"/>
    </row>
    <row r="485" spans="1:7" x14ac:dyDescent="0.2">
      <c r="A485" s="3"/>
      <c r="B485" s="4"/>
      <c r="C485" s="4"/>
      <c r="D485" s="3"/>
      <c r="E485" s="3"/>
      <c r="F485" s="3"/>
      <c r="G485" s="3"/>
    </row>
    <row r="486" spans="1:7" x14ac:dyDescent="0.2">
      <c r="A486" s="3"/>
      <c r="B486" s="4"/>
      <c r="C486" s="4"/>
      <c r="D486" s="3"/>
      <c r="E486" s="3"/>
      <c r="F486" s="3"/>
      <c r="G486" s="3"/>
    </row>
    <row r="487" spans="1:7" x14ac:dyDescent="0.2">
      <c r="A487" s="3"/>
      <c r="B487" s="4"/>
      <c r="C487" s="4"/>
      <c r="D487" s="3"/>
      <c r="E487" s="3"/>
      <c r="F487" s="3"/>
      <c r="G487" s="3"/>
    </row>
    <row r="488" spans="1:7" x14ac:dyDescent="0.2">
      <c r="A488" s="3"/>
      <c r="B488" s="4"/>
      <c r="C488" s="4"/>
      <c r="D488" s="3"/>
      <c r="E488" s="3"/>
      <c r="F488" s="3"/>
      <c r="G488" s="3"/>
    </row>
    <row r="489" spans="1:7" x14ac:dyDescent="0.2">
      <c r="A489" s="3"/>
      <c r="B489" s="4"/>
      <c r="C489" s="4"/>
      <c r="D489" s="3"/>
      <c r="E489" s="3"/>
      <c r="F489" s="3"/>
      <c r="G489" s="3"/>
    </row>
    <row r="490" spans="1:7" x14ac:dyDescent="0.2">
      <c r="A490" s="3"/>
      <c r="B490" s="4"/>
      <c r="C490" s="4"/>
      <c r="D490" s="3"/>
      <c r="E490" s="3"/>
      <c r="F490" s="3"/>
      <c r="G490" s="3"/>
    </row>
    <row r="491" spans="1:7" x14ac:dyDescent="0.2">
      <c r="A491" s="3"/>
      <c r="B491" s="4"/>
      <c r="C491" s="4"/>
      <c r="D491" s="3"/>
      <c r="E491" s="3"/>
      <c r="F491" s="3"/>
      <c r="G491" s="3"/>
    </row>
    <row r="492" spans="1:7" x14ac:dyDescent="0.2">
      <c r="A492" s="3"/>
      <c r="B492" s="4"/>
      <c r="C492" s="4"/>
      <c r="D492" s="3"/>
      <c r="E492" s="3"/>
      <c r="F492" s="3"/>
      <c r="G492" s="3"/>
    </row>
    <row r="493" spans="1:7" x14ac:dyDescent="0.2">
      <c r="A493" s="3"/>
      <c r="B493" s="4"/>
      <c r="C493" s="4"/>
      <c r="D493" s="3"/>
      <c r="E493" s="3"/>
      <c r="F493" s="3"/>
      <c r="G493" s="3"/>
    </row>
    <row r="494" spans="1:7" x14ac:dyDescent="0.2">
      <c r="A494" s="3"/>
      <c r="B494" s="4"/>
      <c r="C494" s="4"/>
      <c r="D494" s="3"/>
      <c r="E494" s="3"/>
      <c r="F494" s="3"/>
      <c r="G494" s="3"/>
    </row>
    <row r="495" spans="1:7" x14ac:dyDescent="0.2">
      <c r="A495" s="3"/>
      <c r="B495" s="4"/>
      <c r="C495" s="4"/>
      <c r="D495" s="3"/>
      <c r="E495" s="3"/>
      <c r="F495" s="3"/>
      <c r="G495" s="3"/>
    </row>
    <row r="496" spans="1:7" x14ac:dyDescent="0.2">
      <c r="A496" s="3"/>
      <c r="B496" s="4"/>
      <c r="C496" s="4"/>
      <c r="D496" s="3"/>
      <c r="E496" s="3"/>
      <c r="F496" s="3"/>
      <c r="G496" s="3"/>
    </row>
    <row r="497" spans="1:7" x14ac:dyDescent="0.2">
      <c r="A497" s="3"/>
      <c r="B497" s="4"/>
      <c r="C497" s="4"/>
      <c r="D497" s="3"/>
      <c r="E497" s="3"/>
      <c r="F497" s="3"/>
      <c r="G497" s="3"/>
    </row>
    <row r="498" spans="1:7" x14ac:dyDescent="0.2">
      <c r="A498" s="3"/>
      <c r="B498" s="4"/>
      <c r="C498" s="4"/>
      <c r="D498" s="3"/>
      <c r="E498" s="3"/>
      <c r="F498" s="3"/>
      <c r="G498" s="3"/>
    </row>
    <row r="499" spans="1:7" x14ac:dyDescent="0.2">
      <c r="A499" s="3"/>
      <c r="B499" s="4"/>
      <c r="C499" s="4"/>
      <c r="D499" s="3"/>
      <c r="E499" s="3"/>
      <c r="F499" s="3"/>
      <c r="G499" s="3"/>
    </row>
    <row r="500" spans="1:7" x14ac:dyDescent="0.2">
      <c r="A500" s="3"/>
      <c r="B500" s="4"/>
      <c r="C500" s="4"/>
      <c r="D500" s="3"/>
      <c r="E500" s="3"/>
      <c r="F500" s="3"/>
      <c r="G500" s="3"/>
    </row>
    <row r="501" spans="1:7" x14ac:dyDescent="0.2">
      <c r="A501" s="3"/>
      <c r="B501" s="4"/>
      <c r="C501" s="4"/>
      <c r="D501" s="3"/>
      <c r="E501" s="3"/>
      <c r="F501" s="3"/>
      <c r="G501" s="3"/>
    </row>
    <row r="502" spans="1:7" x14ac:dyDescent="0.2">
      <c r="A502" s="3"/>
      <c r="B502" s="4"/>
      <c r="C502" s="4"/>
      <c r="D502" s="3"/>
      <c r="E502" s="3"/>
      <c r="F502" s="3"/>
      <c r="G502" s="3"/>
    </row>
    <row r="503" spans="1:7" x14ac:dyDescent="0.2">
      <c r="A503" s="3"/>
      <c r="B503" s="4"/>
      <c r="C503" s="4"/>
      <c r="D503" s="3"/>
      <c r="E503" s="3"/>
      <c r="F503" s="3"/>
      <c r="G503" s="3"/>
    </row>
    <row r="504" spans="1:7" x14ac:dyDescent="0.2">
      <c r="A504" s="3"/>
      <c r="B504" s="4"/>
      <c r="C504" s="4"/>
      <c r="D504" s="3"/>
      <c r="E504" s="3"/>
      <c r="F504" s="3"/>
      <c r="G504" s="3"/>
    </row>
    <row r="505" spans="1:7" x14ac:dyDescent="0.2">
      <c r="A505" s="3"/>
      <c r="B505" s="4"/>
      <c r="C505" s="4"/>
      <c r="D505" s="3"/>
      <c r="E505" s="3"/>
      <c r="F505" s="3"/>
      <c r="G505" s="3"/>
    </row>
    <row r="506" spans="1:7" x14ac:dyDescent="0.2">
      <c r="A506" s="3"/>
      <c r="B506" s="4"/>
      <c r="C506" s="4"/>
      <c r="D506" s="3"/>
      <c r="E506" s="3"/>
      <c r="F506" s="3"/>
      <c r="G506" s="3"/>
    </row>
    <row r="507" spans="1:7" x14ac:dyDescent="0.2">
      <c r="A507" s="3"/>
      <c r="B507" s="4"/>
      <c r="C507" s="4"/>
      <c r="D507" s="3"/>
      <c r="E507" s="3"/>
      <c r="F507" s="3"/>
      <c r="G507" s="3"/>
    </row>
    <row r="508" spans="1:7" x14ac:dyDescent="0.2">
      <c r="A508" s="3"/>
      <c r="B508" s="4"/>
      <c r="C508" s="4"/>
      <c r="D508" s="3"/>
      <c r="E508" s="3"/>
      <c r="F508" s="3"/>
      <c r="G508" s="3"/>
    </row>
    <row r="509" spans="1:7" x14ac:dyDescent="0.2">
      <c r="A509" s="3"/>
      <c r="B509" s="4"/>
      <c r="C509" s="4"/>
      <c r="D509" s="3"/>
      <c r="E509" s="3"/>
      <c r="F509" s="3"/>
      <c r="G509" s="3"/>
    </row>
    <row r="510" spans="1:7" x14ac:dyDescent="0.2">
      <c r="A510" s="3"/>
      <c r="B510" s="4"/>
      <c r="C510" s="4"/>
      <c r="D510" s="3"/>
      <c r="E510" s="3"/>
      <c r="F510" s="3"/>
      <c r="G510" s="3"/>
    </row>
    <row r="511" spans="1:7" x14ac:dyDescent="0.2">
      <c r="A511" s="3"/>
      <c r="B511" s="4"/>
      <c r="C511" s="4"/>
      <c r="D511" s="3"/>
      <c r="E511" s="3"/>
      <c r="F511" s="3"/>
      <c r="G511" s="3"/>
    </row>
    <row r="512" spans="1:7" x14ac:dyDescent="0.2">
      <c r="A512" s="3"/>
      <c r="B512" s="4"/>
      <c r="C512" s="4"/>
      <c r="D512" s="3"/>
      <c r="E512" s="3"/>
      <c r="F512" s="3"/>
      <c r="G512" s="3"/>
    </row>
    <row r="513" spans="1:7" x14ac:dyDescent="0.2">
      <c r="A513" s="3"/>
      <c r="B513" s="4"/>
      <c r="C513" s="4"/>
      <c r="D513" s="3"/>
      <c r="E513" s="3"/>
      <c r="F513" s="3"/>
      <c r="G513" s="3"/>
    </row>
    <row r="514" spans="1:7" x14ac:dyDescent="0.2">
      <c r="A514" s="3"/>
      <c r="B514" s="4"/>
      <c r="C514" s="4"/>
      <c r="D514" s="3"/>
      <c r="E514" s="3"/>
      <c r="F514" s="3"/>
      <c r="G514" s="3"/>
    </row>
    <row r="515" spans="1:7" x14ac:dyDescent="0.2">
      <c r="A515" s="3"/>
      <c r="B515" s="4"/>
      <c r="C515" s="4"/>
      <c r="D515" s="3"/>
      <c r="E515" s="3"/>
      <c r="F515" s="3"/>
      <c r="G515" s="3"/>
    </row>
    <row r="516" spans="1:7" x14ac:dyDescent="0.2">
      <c r="A516" s="3"/>
      <c r="B516" s="4"/>
      <c r="C516" s="4"/>
      <c r="D516" s="3"/>
      <c r="E516" s="3"/>
      <c r="F516" s="3"/>
      <c r="G516" s="3"/>
    </row>
    <row r="517" spans="1:7" x14ac:dyDescent="0.2">
      <c r="A517" s="3"/>
      <c r="B517" s="4"/>
      <c r="C517" s="4"/>
      <c r="D517" s="3"/>
      <c r="E517" s="3"/>
      <c r="F517" s="3"/>
      <c r="G517" s="3"/>
    </row>
    <row r="518" spans="1:7" x14ac:dyDescent="0.2">
      <c r="A518" s="3"/>
      <c r="B518" s="4"/>
      <c r="C518" s="4"/>
      <c r="D518" s="3"/>
      <c r="E518" s="3"/>
      <c r="F518" s="3"/>
      <c r="G518" s="3"/>
    </row>
    <row r="519" spans="1:7" x14ac:dyDescent="0.2">
      <c r="A519" s="3"/>
      <c r="B519" s="4"/>
      <c r="C519" s="4"/>
      <c r="D519" s="3"/>
      <c r="E519" s="3"/>
      <c r="F519" s="3"/>
      <c r="G519" s="3"/>
    </row>
    <row r="520" spans="1:7" x14ac:dyDescent="0.2">
      <c r="A520" s="3"/>
      <c r="B520" s="4"/>
      <c r="C520" s="4"/>
      <c r="D520" s="3"/>
      <c r="E520" s="3"/>
      <c r="F520" s="3"/>
      <c r="G520" s="3"/>
    </row>
    <row r="521" spans="1:7" x14ac:dyDescent="0.2">
      <c r="A521" s="3"/>
      <c r="B521" s="4"/>
      <c r="C521" s="4"/>
      <c r="D521" s="3"/>
      <c r="E521" s="3"/>
      <c r="F521" s="3"/>
      <c r="G521" s="3"/>
    </row>
    <row r="522" spans="1:7" x14ac:dyDescent="0.2">
      <c r="A522" s="3"/>
      <c r="B522" s="4"/>
      <c r="C522" s="4"/>
      <c r="D522" s="3"/>
      <c r="E522" s="3"/>
      <c r="F522" s="3"/>
      <c r="G522" s="3"/>
    </row>
    <row r="523" spans="1:7" x14ac:dyDescent="0.2">
      <c r="A523" s="3"/>
      <c r="B523" s="4"/>
      <c r="C523" s="4"/>
      <c r="D523" s="3"/>
      <c r="E523" s="3"/>
      <c r="F523" s="3"/>
      <c r="G523" s="3"/>
    </row>
    <row r="524" spans="1:7" x14ac:dyDescent="0.2">
      <c r="A524" s="3"/>
      <c r="B524" s="4"/>
      <c r="C524" s="4"/>
      <c r="D524" s="3"/>
      <c r="E524" s="3"/>
      <c r="F524" s="3"/>
      <c r="G524" s="3"/>
    </row>
    <row r="525" spans="1:7" x14ac:dyDescent="0.2">
      <c r="A525" s="3"/>
      <c r="B525" s="4"/>
      <c r="C525" s="4"/>
      <c r="D525" s="3"/>
      <c r="E525" s="3"/>
      <c r="F525" s="3"/>
      <c r="G525" s="3"/>
    </row>
    <row r="526" spans="1:7" x14ac:dyDescent="0.2">
      <c r="A526" s="3"/>
      <c r="B526" s="4"/>
      <c r="C526" s="4"/>
      <c r="D526" s="3"/>
      <c r="E526" s="3"/>
      <c r="F526" s="3"/>
      <c r="G526" s="3"/>
    </row>
    <row r="527" spans="1:7" x14ac:dyDescent="0.2">
      <c r="A527" s="3"/>
      <c r="B527" s="4"/>
      <c r="C527" s="4"/>
      <c r="D527" s="3"/>
      <c r="E527" s="3"/>
      <c r="F527" s="3"/>
      <c r="G527" s="3"/>
    </row>
    <row r="528" spans="1:7" x14ac:dyDescent="0.2">
      <c r="A528" s="3"/>
      <c r="B528" s="4"/>
      <c r="C528" s="4"/>
      <c r="D528" s="3"/>
      <c r="E528" s="3"/>
      <c r="F528" s="3"/>
      <c r="G528" s="3"/>
    </row>
    <row r="529" spans="1:7" x14ac:dyDescent="0.2">
      <c r="A529" s="3"/>
      <c r="B529" s="4"/>
      <c r="C529" s="4"/>
      <c r="D529" s="3"/>
      <c r="E529" s="3"/>
      <c r="F529" s="3"/>
      <c r="G529" s="3"/>
    </row>
    <row r="530" spans="1:7" x14ac:dyDescent="0.2">
      <c r="A530" s="3"/>
      <c r="B530" s="4"/>
      <c r="C530" s="4"/>
      <c r="D530" s="3"/>
      <c r="E530" s="3"/>
      <c r="F530" s="3"/>
      <c r="G530" s="3"/>
    </row>
    <row r="531" spans="1:7" x14ac:dyDescent="0.2">
      <c r="A531" s="3"/>
      <c r="B531" s="4"/>
      <c r="C531" s="4"/>
      <c r="D531" s="3"/>
      <c r="E531" s="3"/>
      <c r="F531" s="3"/>
      <c r="G531" s="3"/>
    </row>
    <row r="532" spans="1:7" x14ac:dyDescent="0.2">
      <c r="A532" s="3"/>
      <c r="B532" s="4"/>
      <c r="C532" s="4"/>
      <c r="D532" s="3"/>
      <c r="E532" s="3"/>
      <c r="F532" s="3"/>
      <c r="G532" s="3"/>
    </row>
    <row r="533" spans="1:7" x14ac:dyDescent="0.2">
      <c r="A533" s="3"/>
      <c r="B533" s="4"/>
      <c r="C533" s="4"/>
      <c r="D533" s="3"/>
      <c r="E533" s="3"/>
      <c r="F533" s="3"/>
      <c r="G533" s="3"/>
    </row>
    <row r="534" spans="1:7" x14ac:dyDescent="0.2">
      <c r="A534" s="3"/>
      <c r="B534" s="4"/>
      <c r="C534" s="4"/>
      <c r="D534" s="3"/>
      <c r="E534" s="3"/>
      <c r="F534" s="3"/>
      <c r="G534" s="3"/>
    </row>
    <row r="535" spans="1:7" x14ac:dyDescent="0.2">
      <c r="A535" s="3"/>
      <c r="B535" s="4"/>
      <c r="C535" s="4"/>
      <c r="D535" s="3"/>
      <c r="E535" s="3"/>
      <c r="F535" s="3"/>
      <c r="G535" s="3"/>
    </row>
    <row r="536" spans="1:7" x14ac:dyDescent="0.2">
      <c r="A536" s="3"/>
      <c r="B536" s="4"/>
      <c r="C536" s="4"/>
      <c r="D536" s="3"/>
      <c r="E536" s="3"/>
      <c r="F536" s="3"/>
      <c r="G536" s="3"/>
    </row>
    <row r="537" spans="1:7" x14ac:dyDescent="0.2">
      <c r="A537" s="3"/>
      <c r="B537" s="4"/>
      <c r="C537" s="4"/>
      <c r="D537" s="3"/>
      <c r="E537" s="3"/>
      <c r="F537" s="3"/>
      <c r="G537" s="3"/>
    </row>
    <row r="538" spans="1:7" x14ac:dyDescent="0.2">
      <c r="A538" s="3"/>
      <c r="B538" s="4"/>
      <c r="C538" s="4"/>
      <c r="D538" s="3"/>
      <c r="E538" s="3"/>
      <c r="F538" s="3"/>
      <c r="G538" s="3"/>
    </row>
    <row r="539" spans="1:7" x14ac:dyDescent="0.2">
      <c r="A539" s="3"/>
      <c r="B539" s="4"/>
      <c r="C539" s="4"/>
      <c r="D539" s="3"/>
      <c r="E539" s="3"/>
      <c r="F539" s="3"/>
      <c r="G539" s="3"/>
    </row>
    <row r="540" spans="1:7" x14ac:dyDescent="0.2">
      <c r="A540" s="3"/>
      <c r="B540" s="4"/>
      <c r="C540" s="4"/>
      <c r="D540" s="3"/>
      <c r="E540" s="3"/>
      <c r="F540" s="3"/>
      <c r="G540" s="3"/>
    </row>
    <row r="541" spans="1:7" x14ac:dyDescent="0.2">
      <c r="A541" s="3"/>
      <c r="B541" s="4"/>
      <c r="C541" s="4"/>
      <c r="D541" s="3"/>
      <c r="E541" s="3"/>
      <c r="F541" s="3"/>
      <c r="G541" s="3"/>
    </row>
    <row r="542" spans="1:7" x14ac:dyDescent="0.2">
      <c r="A542" s="3"/>
      <c r="B542" s="4"/>
      <c r="C542" s="4"/>
      <c r="D542" s="3"/>
      <c r="E542" s="3"/>
      <c r="F542" s="3"/>
      <c r="G542" s="3"/>
    </row>
    <row r="543" spans="1:7" x14ac:dyDescent="0.2">
      <c r="A543" s="3"/>
      <c r="B543" s="4"/>
      <c r="C543" s="4"/>
      <c r="D543" s="3"/>
      <c r="E543" s="3"/>
      <c r="F543" s="3"/>
      <c r="G543" s="3"/>
    </row>
    <row r="544" spans="1:7" x14ac:dyDescent="0.2">
      <c r="A544" s="3"/>
      <c r="B544" s="4"/>
      <c r="C544" s="4"/>
      <c r="D544" s="3"/>
      <c r="E544" s="3"/>
      <c r="F544" s="3"/>
      <c r="G544" s="3"/>
    </row>
    <row r="545" spans="1:7" x14ac:dyDescent="0.2">
      <c r="A545" s="3"/>
      <c r="B545" s="4"/>
      <c r="C545" s="4"/>
      <c r="D545" s="3"/>
      <c r="E545" s="3"/>
      <c r="F545" s="3"/>
      <c r="G545" s="3"/>
    </row>
    <row r="546" spans="1:7" x14ac:dyDescent="0.2">
      <c r="A546" s="3"/>
      <c r="B546" s="4"/>
      <c r="C546" s="4"/>
      <c r="D546" s="3"/>
      <c r="E546" s="3"/>
      <c r="F546" s="3"/>
      <c r="G546" s="3"/>
    </row>
    <row r="547" spans="1:7" x14ac:dyDescent="0.2">
      <c r="A547" s="3"/>
      <c r="B547" s="4"/>
      <c r="C547" s="4"/>
      <c r="D547" s="3"/>
      <c r="E547" s="3"/>
      <c r="F547" s="3"/>
      <c r="G547" s="3"/>
    </row>
    <row r="548" spans="1:7" x14ac:dyDescent="0.2">
      <c r="A548" s="3"/>
      <c r="B548" s="4"/>
      <c r="C548" s="4"/>
      <c r="D548" s="3"/>
      <c r="E548" s="3"/>
      <c r="F548" s="3"/>
      <c r="G548" s="3"/>
    </row>
    <row r="549" spans="1:7" x14ac:dyDescent="0.2">
      <c r="A549" s="3"/>
      <c r="B549" s="4"/>
      <c r="C549" s="4"/>
      <c r="D549" s="3"/>
      <c r="E549" s="3"/>
      <c r="F549" s="3"/>
      <c r="G549" s="3"/>
    </row>
    <row r="550" spans="1:7" x14ac:dyDescent="0.2">
      <c r="A550" s="3"/>
      <c r="B550" s="4"/>
      <c r="C550" s="4"/>
      <c r="D550" s="3"/>
      <c r="E550" s="3"/>
      <c r="F550" s="3"/>
      <c r="G550" s="3"/>
    </row>
    <row r="551" spans="1:7" x14ac:dyDescent="0.2">
      <c r="A551" s="3"/>
      <c r="B551" s="4"/>
      <c r="C551" s="4"/>
      <c r="D551" s="3"/>
      <c r="E551" s="3"/>
      <c r="F551" s="3"/>
      <c r="G551" s="3"/>
    </row>
    <row r="552" spans="1:7" x14ac:dyDescent="0.2">
      <c r="A552" s="3"/>
      <c r="B552" s="4"/>
      <c r="C552" s="4"/>
      <c r="D552" s="3"/>
      <c r="E552" s="3"/>
      <c r="F552" s="3"/>
      <c r="G552" s="3"/>
    </row>
    <row r="553" spans="1:7" x14ac:dyDescent="0.2">
      <c r="A553" s="3"/>
      <c r="B553" s="4"/>
      <c r="C553" s="4"/>
      <c r="D553" s="3"/>
      <c r="E553" s="3"/>
      <c r="F553" s="3"/>
      <c r="G553" s="3"/>
    </row>
    <row r="554" spans="1:7" x14ac:dyDescent="0.2">
      <c r="A554" s="3"/>
      <c r="B554" s="4"/>
      <c r="C554" s="4"/>
      <c r="D554" s="3"/>
      <c r="E554" s="3"/>
      <c r="F554" s="3"/>
      <c r="G554" s="3"/>
    </row>
    <row r="555" spans="1:7" x14ac:dyDescent="0.2">
      <c r="A555" s="3"/>
      <c r="B555" s="4"/>
      <c r="C555" s="4"/>
      <c r="D555" s="3"/>
      <c r="E555" s="3"/>
      <c r="F555" s="3"/>
      <c r="G555" s="3"/>
    </row>
    <row r="556" spans="1:7" x14ac:dyDescent="0.2">
      <c r="A556" s="3"/>
      <c r="B556" s="4"/>
      <c r="C556" s="4"/>
      <c r="D556" s="3"/>
      <c r="E556" s="3"/>
      <c r="F556" s="3"/>
      <c r="G556" s="3"/>
    </row>
    <row r="557" spans="1:7" x14ac:dyDescent="0.2">
      <c r="A557" s="3"/>
      <c r="B557" s="4"/>
      <c r="C557" s="4"/>
      <c r="D557" s="3"/>
      <c r="E557" s="3"/>
      <c r="F557" s="3"/>
      <c r="G557" s="3"/>
    </row>
    <row r="558" spans="1:7" x14ac:dyDescent="0.2">
      <c r="A558" s="3"/>
      <c r="B558" s="4"/>
      <c r="C558" s="4"/>
      <c r="D558" s="3"/>
      <c r="E558" s="3"/>
      <c r="F558" s="3"/>
      <c r="G558" s="3"/>
    </row>
    <row r="559" spans="1:7" x14ac:dyDescent="0.2">
      <c r="A559" s="3"/>
      <c r="B559" s="4"/>
      <c r="C559" s="4"/>
      <c r="D559" s="3"/>
      <c r="E559" s="3"/>
      <c r="F559" s="3"/>
      <c r="G559" s="3"/>
    </row>
    <row r="560" spans="1:7" x14ac:dyDescent="0.2">
      <c r="A560" s="3"/>
      <c r="B560" s="4"/>
      <c r="C560" s="4"/>
      <c r="D560" s="3"/>
      <c r="E560" s="3"/>
      <c r="F560" s="3"/>
      <c r="G560" s="3"/>
    </row>
    <row r="561" spans="1:7" x14ac:dyDescent="0.2">
      <c r="A561" s="3"/>
      <c r="B561" s="4"/>
      <c r="C561" s="4"/>
      <c r="D561" s="3"/>
      <c r="E561" s="3"/>
      <c r="F561" s="3"/>
      <c r="G561" s="3"/>
    </row>
    <row r="562" spans="1:7" x14ac:dyDescent="0.2">
      <c r="A562" s="3"/>
      <c r="B562" s="4"/>
      <c r="C562" s="4"/>
      <c r="D562" s="3"/>
      <c r="E562" s="3"/>
      <c r="F562" s="3"/>
      <c r="G562" s="3"/>
    </row>
    <row r="563" spans="1:7" x14ac:dyDescent="0.2">
      <c r="A563" s="3"/>
      <c r="B563" s="4"/>
      <c r="C563" s="4"/>
      <c r="D563" s="3"/>
      <c r="E563" s="3"/>
      <c r="F563" s="3"/>
      <c r="G563" s="3"/>
    </row>
    <row r="564" spans="1:7" x14ac:dyDescent="0.2">
      <c r="A564" s="3"/>
      <c r="B564" s="4"/>
      <c r="C564" s="4"/>
      <c r="D564" s="3"/>
      <c r="E564" s="3"/>
      <c r="F564" s="3"/>
      <c r="G564" s="3"/>
    </row>
    <row r="565" spans="1:7" x14ac:dyDescent="0.2">
      <c r="A565" s="3"/>
      <c r="B565" s="4"/>
      <c r="C565" s="4"/>
      <c r="D565" s="3"/>
      <c r="E565" s="3"/>
      <c r="F565" s="3"/>
      <c r="G565" s="3"/>
    </row>
    <row r="566" spans="1:7" x14ac:dyDescent="0.2">
      <c r="A566" s="3"/>
      <c r="B566" s="4"/>
      <c r="C566" s="4"/>
      <c r="D566" s="3"/>
      <c r="E566" s="3"/>
      <c r="F566" s="3"/>
      <c r="G566" s="3"/>
    </row>
    <row r="567" spans="1:7" x14ac:dyDescent="0.2">
      <c r="A567" s="3"/>
      <c r="B567" s="4"/>
      <c r="C567" s="4"/>
      <c r="D567" s="3"/>
      <c r="E567" s="3"/>
      <c r="F567" s="3"/>
      <c r="G567" s="3"/>
    </row>
    <row r="568" spans="1:7" x14ac:dyDescent="0.2">
      <c r="A568" s="3"/>
      <c r="B568" s="4"/>
      <c r="C568" s="4"/>
      <c r="D568" s="3"/>
      <c r="E568" s="3"/>
      <c r="F568" s="3"/>
      <c r="G568" s="3"/>
    </row>
    <row r="569" spans="1:7" x14ac:dyDescent="0.2">
      <c r="A569" s="3"/>
      <c r="B569" s="4"/>
      <c r="C569" s="4"/>
      <c r="D569" s="3"/>
      <c r="E569" s="3"/>
      <c r="F569" s="3"/>
      <c r="G569" s="3"/>
    </row>
    <row r="570" spans="1:7" x14ac:dyDescent="0.2">
      <c r="A570" s="3"/>
      <c r="B570" s="4"/>
      <c r="C570" s="4"/>
      <c r="D570" s="3"/>
      <c r="E570" s="3"/>
      <c r="F570" s="3"/>
      <c r="G570" s="3"/>
    </row>
    <row r="571" spans="1:7" x14ac:dyDescent="0.2">
      <c r="A571" s="3"/>
      <c r="B571" s="4"/>
      <c r="C571" s="4"/>
      <c r="D571" s="3"/>
      <c r="E571" s="3"/>
      <c r="F571" s="3"/>
      <c r="G571" s="3"/>
    </row>
    <row r="572" spans="1:7" x14ac:dyDescent="0.2">
      <c r="A572" s="3"/>
      <c r="B572" s="4"/>
      <c r="C572" s="4"/>
      <c r="D572" s="3"/>
      <c r="E572" s="3"/>
      <c r="F572" s="3"/>
      <c r="G572" s="3"/>
    </row>
    <row r="573" spans="1:7" x14ac:dyDescent="0.2">
      <c r="A573" s="3"/>
      <c r="B573" s="4"/>
      <c r="C573" s="4"/>
      <c r="D573" s="3"/>
      <c r="E573" s="3"/>
      <c r="F573" s="3"/>
      <c r="G573" s="3"/>
    </row>
    <row r="574" spans="1:7" x14ac:dyDescent="0.2">
      <c r="A574" s="3"/>
      <c r="B574" s="4"/>
      <c r="C574" s="4"/>
      <c r="D574" s="3"/>
      <c r="E574" s="3"/>
      <c r="F574" s="3"/>
      <c r="G574" s="3"/>
    </row>
    <row r="575" spans="1:7" x14ac:dyDescent="0.2">
      <c r="A575" s="3"/>
      <c r="B575" s="4"/>
      <c r="C575" s="4"/>
      <c r="D575" s="3"/>
      <c r="E575" s="3"/>
      <c r="F575" s="3"/>
      <c r="G575" s="3"/>
    </row>
    <row r="576" spans="1:7" x14ac:dyDescent="0.2">
      <c r="A576" s="3"/>
      <c r="B576" s="4"/>
      <c r="C576" s="4"/>
      <c r="D576" s="3"/>
      <c r="E576" s="3"/>
      <c r="F576" s="3"/>
      <c r="G576" s="3"/>
    </row>
    <row r="577" spans="1:7" x14ac:dyDescent="0.2">
      <c r="A577" s="3"/>
      <c r="B577" s="4"/>
      <c r="C577" s="4"/>
      <c r="D577" s="3"/>
      <c r="E577" s="3"/>
      <c r="F577" s="3"/>
      <c r="G577" s="3"/>
    </row>
    <row r="578" spans="1:7" x14ac:dyDescent="0.2">
      <c r="A578" s="3"/>
      <c r="B578" s="4"/>
      <c r="C578" s="4"/>
      <c r="D578" s="3"/>
      <c r="E578" s="3"/>
      <c r="F578" s="3"/>
      <c r="G578" s="3"/>
    </row>
    <row r="579" spans="1:7" x14ac:dyDescent="0.2">
      <c r="A579" s="3"/>
      <c r="B579" s="4"/>
      <c r="C579" s="4"/>
      <c r="D579" s="3"/>
      <c r="E579" s="3"/>
      <c r="F579" s="3"/>
      <c r="G579" s="3"/>
    </row>
    <row r="580" spans="1:7" x14ac:dyDescent="0.2">
      <c r="A580" s="3"/>
      <c r="B580" s="4"/>
      <c r="C580" s="4"/>
      <c r="D580" s="3"/>
      <c r="E580" s="3"/>
      <c r="F580" s="3"/>
      <c r="G580" s="3"/>
    </row>
    <row r="581" spans="1:7" x14ac:dyDescent="0.2">
      <c r="A581" s="3"/>
      <c r="B581" s="4"/>
      <c r="C581" s="4"/>
      <c r="D581" s="3"/>
      <c r="E581" s="3"/>
      <c r="F581" s="3"/>
      <c r="G581" s="3"/>
    </row>
    <row r="582" spans="1:7" x14ac:dyDescent="0.2">
      <c r="A582" s="3"/>
      <c r="B582" s="4"/>
      <c r="C582" s="4"/>
      <c r="D582" s="3"/>
      <c r="E582" s="3"/>
      <c r="F582" s="3"/>
      <c r="G582" s="3"/>
    </row>
    <row r="583" spans="1:7" x14ac:dyDescent="0.2">
      <c r="A583" s="3"/>
      <c r="B583" s="4"/>
      <c r="C583" s="4"/>
      <c r="D583" s="3"/>
      <c r="E583" s="3"/>
      <c r="F583" s="3"/>
      <c r="G583" s="3"/>
    </row>
    <row r="584" spans="1:7" x14ac:dyDescent="0.2">
      <c r="A584" s="3"/>
      <c r="B584" s="4"/>
      <c r="C584" s="4"/>
      <c r="D584" s="3"/>
      <c r="E584" s="3"/>
      <c r="F584" s="3"/>
      <c r="G584" s="3"/>
    </row>
    <row r="585" spans="1:7" x14ac:dyDescent="0.2">
      <c r="A585" s="3"/>
      <c r="B585" s="4"/>
      <c r="C585" s="4"/>
      <c r="D585" s="3"/>
      <c r="E585" s="3"/>
      <c r="F585" s="3"/>
      <c r="G585" s="3"/>
    </row>
    <row r="586" spans="1:7" x14ac:dyDescent="0.2">
      <c r="A586" s="3"/>
      <c r="B586" s="4"/>
      <c r="C586" s="4"/>
      <c r="D586" s="3"/>
      <c r="E586" s="3"/>
      <c r="F586" s="3"/>
      <c r="G586" s="3"/>
    </row>
    <row r="587" spans="1:7" x14ac:dyDescent="0.2">
      <c r="A587" s="3"/>
      <c r="B587" s="4"/>
      <c r="C587" s="4"/>
      <c r="D587" s="3"/>
      <c r="E587" s="3"/>
      <c r="F587" s="3"/>
      <c r="G587" s="3"/>
    </row>
    <row r="588" spans="1:7" x14ac:dyDescent="0.2">
      <c r="A588" s="3"/>
      <c r="B588" s="4"/>
      <c r="C588" s="4"/>
      <c r="D588" s="3"/>
      <c r="E588" s="3"/>
      <c r="F588" s="3"/>
      <c r="G588" s="3"/>
    </row>
    <row r="589" spans="1:7" x14ac:dyDescent="0.2">
      <c r="A589" s="3"/>
      <c r="B589" s="4"/>
      <c r="C589" s="4"/>
      <c r="D589" s="3"/>
      <c r="E589" s="3"/>
      <c r="F589" s="3"/>
      <c r="G589" s="3"/>
    </row>
    <row r="590" spans="1:7" x14ac:dyDescent="0.2">
      <c r="A590" s="3"/>
      <c r="B590" s="4"/>
      <c r="C590" s="4"/>
      <c r="D590" s="3"/>
      <c r="E590" s="3"/>
      <c r="F590" s="3"/>
      <c r="G590" s="3"/>
    </row>
    <row r="591" spans="1:7" x14ac:dyDescent="0.2">
      <c r="A591" s="3"/>
      <c r="B591" s="4"/>
      <c r="C591" s="4"/>
      <c r="D591" s="3"/>
      <c r="E591" s="3"/>
      <c r="F591" s="3"/>
      <c r="G591" s="3"/>
    </row>
    <row r="592" spans="1:7" x14ac:dyDescent="0.2">
      <c r="A592" s="3"/>
      <c r="B592" s="4"/>
      <c r="C592" s="4"/>
      <c r="D592" s="3"/>
      <c r="E592" s="3"/>
      <c r="F592" s="3"/>
      <c r="G592" s="3"/>
    </row>
    <row r="593" spans="1:7" x14ac:dyDescent="0.2">
      <c r="A593" s="3"/>
      <c r="B593" s="4"/>
      <c r="C593" s="4"/>
      <c r="D593" s="3"/>
      <c r="E593" s="3"/>
      <c r="F593" s="3"/>
      <c r="G593" s="3"/>
    </row>
    <row r="594" spans="1:7" x14ac:dyDescent="0.2">
      <c r="A594" s="3"/>
      <c r="B594" s="4"/>
      <c r="C594" s="4"/>
      <c r="D594" s="3"/>
      <c r="E594" s="3"/>
      <c r="F594" s="3"/>
      <c r="G594" s="3"/>
    </row>
    <row r="595" spans="1:7" x14ac:dyDescent="0.2">
      <c r="A595" s="3"/>
      <c r="B595" s="4"/>
      <c r="C595" s="4"/>
      <c r="D595" s="3"/>
      <c r="E595" s="3"/>
      <c r="F595" s="3"/>
      <c r="G595" s="3"/>
    </row>
    <row r="596" spans="1:7" x14ac:dyDescent="0.2">
      <c r="A596" s="3"/>
      <c r="B596" s="4"/>
      <c r="C596" s="4"/>
      <c r="D596" s="3"/>
      <c r="E596" s="3"/>
      <c r="F596" s="3"/>
      <c r="G596" s="3"/>
    </row>
    <row r="597" spans="1:7" x14ac:dyDescent="0.2">
      <c r="A597" s="3"/>
      <c r="B597" s="4"/>
      <c r="C597" s="4"/>
      <c r="D597" s="3"/>
      <c r="E597" s="3"/>
      <c r="F597" s="3"/>
      <c r="G597" s="3"/>
    </row>
    <row r="598" spans="1:7" x14ac:dyDescent="0.2">
      <c r="A598" s="3"/>
      <c r="B598" s="4"/>
      <c r="C598" s="4"/>
      <c r="D598" s="3"/>
      <c r="E598" s="3"/>
      <c r="F598" s="3"/>
      <c r="G598" s="3"/>
    </row>
    <row r="599" spans="1:7" x14ac:dyDescent="0.2">
      <c r="A599" s="3"/>
      <c r="B599" s="4"/>
      <c r="C599" s="4"/>
      <c r="D599" s="3"/>
      <c r="E599" s="3"/>
      <c r="F599" s="3"/>
      <c r="G599" s="3"/>
    </row>
    <row r="600" spans="1:7" x14ac:dyDescent="0.2">
      <c r="A600" s="3"/>
      <c r="B600" s="4"/>
      <c r="C600" s="4"/>
      <c r="D600" s="3"/>
      <c r="E600" s="3"/>
      <c r="F600" s="3"/>
      <c r="G600" s="3"/>
    </row>
    <row r="601" spans="1:7" x14ac:dyDescent="0.2">
      <c r="A601" s="3"/>
      <c r="B601" s="4"/>
      <c r="C601" s="4"/>
      <c r="D601" s="3"/>
      <c r="E601" s="3"/>
      <c r="F601" s="3"/>
      <c r="G601" s="3"/>
    </row>
    <row r="602" spans="1:7" x14ac:dyDescent="0.2">
      <c r="A602" s="3"/>
      <c r="B602" s="4"/>
      <c r="C602" s="4"/>
      <c r="D602" s="3"/>
      <c r="E602" s="3"/>
      <c r="F602" s="3"/>
      <c r="G602" s="3"/>
    </row>
    <row r="603" spans="1:7" x14ac:dyDescent="0.2">
      <c r="A603" s="3"/>
      <c r="B603" s="4"/>
      <c r="C603" s="4"/>
      <c r="D603" s="3"/>
      <c r="E603" s="3"/>
      <c r="F603" s="3"/>
      <c r="G603" s="3"/>
    </row>
    <row r="604" spans="1:7" x14ac:dyDescent="0.2">
      <c r="A604" s="3"/>
      <c r="B604" s="4"/>
      <c r="C604" s="4"/>
      <c r="D604" s="3"/>
      <c r="E604" s="3"/>
      <c r="F604" s="3"/>
      <c r="G604" s="3"/>
    </row>
    <row r="605" spans="1:7" x14ac:dyDescent="0.2">
      <c r="A605" s="3"/>
      <c r="B605" s="4"/>
      <c r="C605" s="4"/>
      <c r="D605" s="3"/>
      <c r="E605" s="3"/>
      <c r="F605" s="3"/>
      <c r="G605" s="3"/>
    </row>
    <row r="606" spans="1:7" x14ac:dyDescent="0.2">
      <c r="A606" s="3"/>
      <c r="B606" s="4"/>
      <c r="C606" s="4"/>
      <c r="D606" s="3"/>
      <c r="E606" s="3"/>
      <c r="F606" s="3"/>
      <c r="G606" s="3"/>
    </row>
    <row r="607" spans="1:7" x14ac:dyDescent="0.2">
      <c r="A607" s="3"/>
      <c r="B607" s="4"/>
      <c r="C607" s="4"/>
      <c r="D607" s="3"/>
      <c r="E607" s="3"/>
      <c r="F607" s="3"/>
      <c r="G607" s="3"/>
    </row>
    <row r="608" spans="1:7" x14ac:dyDescent="0.2">
      <c r="A608" s="3"/>
      <c r="B608" s="4"/>
      <c r="C608" s="4"/>
      <c r="D608" s="3"/>
      <c r="E608" s="3"/>
      <c r="F608" s="3"/>
      <c r="G608" s="3"/>
    </row>
    <row r="609" spans="1:7" x14ac:dyDescent="0.2">
      <c r="A609" s="3"/>
      <c r="B609" s="4"/>
      <c r="C609" s="4"/>
      <c r="D609" s="3"/>
      <c r="E609" s="3"/>
      <c r="F609" s="3"/>
      <c r="G609" s="3"/>
    </row>
    <row r="610" spans="1:7" x14ac:dyDescent="0.2">
      <c r="A610" s="3"/>
      <c r="B610" s="4"/>
      <c r="C610" s="4"/>
      <c r="D610" s="3"/>
      <c r="E610" s="3"/>
      <c r="F610" s="3"/>
      <c r="G610" s="3"/>
    </row>
    <row r="611" spans="1:7" x14ac:dyDescent="0.2">
      <c r="A611" s="3"/>
      <c r="B611" s="4"/>
      <c r="C611" s="4"/>
      <c r="D611" s="3"/>
      <c r="E611" s="3"/>
      <c r="F611" s="3"/>
      <c r="G611" s="3"/>
    </row>
    <row r="612" spans="1:7" x14ac:dyDescent="0.2">
      <c r="A612" s="3"/>
      <c r="B612" s="4"/>
      <c r="C612" s="4"/>
      <c r="D612" s="3"/>
      <c r="E612" s="3"/>
      <c r="F612" s="3"/>
      <c r="G612" s="3"/>
    </row>
    <row r="613" spans="1:7" x14ac:dyDescent="0.2">
      <c r="A613" s="3"/>
      <c r="B613" s="4"/>
      <c r="C613" s="4"/>
      <c r="D613" s="3"/>
      <c r="E613" s="3"/>
      <c r="F613" s="3"/>
      <c r="G613" s="3"/>
    </row>
    <row r="614" spans="1:7" x14ac:dyDescent="0.2">
      <c r="A614" s="3"/>
      <c r="B614" s="4"/>
      <c r="C614" s="4"/>
      <c r="D614" s="3"/>
      <c r="E614" s="3"/>
      <c r="F614" s="3"/>
      <c r="G614" s="3"/>
    </row>
    <row r="615" spans="1:7" x14ac:dyDescent="0.2">
      <c r="A615" s="3"/>
      <c r="B615" s="4"/>
      <c r="C615" s="4"/>
      <c r="D615" s="3"/>
      <c r="E615" s="3"/>
      <c r="F615" s="3"/>
      <c r="G615" s="3"/>
    </row>
    <row r="616" spans="1:7" x14ac:dyDescent="0.2">
      <c r="A616" s="3"/>
      <c r="B616" s="4"/>
      <c r="C616" s="4"/>
      <c r="D616" s="3"/>
      <c r="E616" s="3"/>
      <c r="F616" s="3"/>
      <c r="G616" s="3"/>
    </row>
    <row r="617" spans="1:7" x14ac:dyDescent="0.2">
      <c r="A617" s="3"/>
      <c r="B617" s="4"/>
      <c r="C617" s="4"/>
      <c r="D617" s="3"/>
      <c r="E617" s="3"/>
      <c r="F617" s="3"/>
      <c r="G617" s="3"/>
    </row>
    <row r="618" spans="1:7" x14ac:dyDescent="0.2">
      <c r="A618" s="3"/>
      <c r="B618" s="4"/>
      <c r="C618" s="4"/>
      <c r="D618" s="3"/>
      <c r="E618" s="3"/>
      <c r="F618" s="3"/>
      <c r="G618" s="3"/>
    </row>
    <row r="619" spans="1:7" x14ac:dyDescent="0.2">
      <c r="A619" s="3"/>
      <c r="B619" s="4"/>
      <c r="C619" s="4"/>
      <c r="D619" s="3"/>
      <c r="E619" s="3"/>
      <c r="F619" s="3"/>
      <c r="G619" s="3"/>
    </row>
    <row r="620" spans="1:7" x14ac:dyDescent="0.2">
      <c r="A620" s="3"/>
      <c r="B620" s="4"/>
      <c r="C620" s="4"/>
      <c r="D620" s="3"/>
      <c r="E620" s="3"/>
      <c r="F620" s="3"/>
      <c r="G620" s="3"/>
    </row>
    <row r="621" spans="1:7" x14ac:dyDescent="0.2">
      <c r="A621" s="3"/>
      <c r="B621" s="4"/>
      <c r="C621" s="4"/>
      <c r="D621" s="3"/>
      <c r="E621" s="3"/>
      <c r="F621" s="3"/>
      <c r="G621" s="3"/>
    </row>
    <row r="622" spans="1:7" x14ac:dyDescent="0.2">
      <c r="A622" s="3"/>
      <c r="B622" s="4"/>
      <c r="C622" s="4"/>
      <c r="D622" s="3"/>
      <c r="E622" s="3"/>
      <c r="F622" s="3"/>
      <c r="G622" s="3"/>
    </row>
    <row r="623" spans="1:7" x14ac:dyDescent="0.2">
      <c r="A623" s="3"/>
      <c r="B623" s="4"/>
      <c r="C623" s="4"/>
      <c r="D623" s="3"/>
      <c r="E623" s="3"/>
      <c r="F623" s="3"/>
      <c r="G623" s="3"/>
    </row>
    <row r="624" spans="1:7" x14ac:dyDescent="0.2">
      <c r="A624" s="3"/>
      <c r="B624" s="4"/>
      <c r="C624" s="4"/>
      <c r="D624" s="3"/>
      <c r="E624" s="3"/>
      <c r="F624" s="3"/>
      <c r="G624" s="3"/>
    </row>
    <row r="625" spans="1:7" x14ac:dyDescent="0.2">
      <c r="A625" s="3"/>
      <c r="B625" s="4"/>
      <c r="C625" s="4"/>
      <c r="D625" s="3"/>
      <c r="E625" s="3"/>
      <c r="F625" s="3"/>
      <c r="G625" s="3"/>
    </row>
    <row r="626" spans="1:7" x14ac:dyDescent="0.2">
      <c r="A626" s="3"/>
      <c r="B626" s="4"/>
      <c r="C626" s="4"/>
      <c r="D626" s="3"/>
      <c r="E626" s="3"/>
      <c r="F626" s="3"/>
      <c r="G626" s="3"/>
    </row>
    <row r="627" spans="1:7" x14ac:dyDescent="0.2">
      <c r="A627" s="3"/>
      <c r="B627" s="4"/>
      <c r="C627" s="4"/>
      <c r="D627" s="3"/>
      <c r="E627" s="3"/>
      <c r="F627" s="3"/>
      <c r="G627" s="3"/>
    </row>
    <row r="628" spans="1:7" x14ac:dyDescent="0.2">
      <c r="A628" s="3"/>
      <c r="B628" s="4"/>
      <c r="C628" s="4"/>
      <c r="D628" s="3"/>
      <c r="E628" s="3"/>
      <c r="F628" s="3"/>
      <c r="G628" s="3"/>
    </row>
    <row r="629" spans="1:7" x14ac:dyDescent="0.2">
      <c r="A629" s="3"/>
      <c r="B629" s="4"/>
      <c r="C629" s="4"/>
      <c r="D629" s="3"/>
      <c r="E629" s="3"/>
      <c r="F629" s="3"/>
      <c r="G629" s="3"/>
    </row>
    <row r="630" spans="1:7" x14ac:dyDescent="0.2">
      <c r="A630" s="3"/>
      <c r="B630" s="4"/>
      <c r="C630" s="4"/>
      <c r="D630" s="3"/>
      <c r="E630" s="3"/>
      <c r="F630" s="3"/>
      <c r="G630" s="3"/>
    </row>
    <row r="631" spans="1:7" x14ac:dyDescent="0.2">
      <c r="A631" s="3"/>
      <c r="B631" s="4"/>
      <c r="C631" s="4"/>
      <c r="D631" s="3"/>
      <c r="E631" s="3"/>
      <c r="F631" s="3"/>
      <c r="G631" s="3"/>
    </row>
    <row r="632" spans="1:7" x14ac:dyDescent="0.2">
      <c r="A632" s="3"/>
      <c r="B632" s="4"/>
      <c r="C632" s="4"/>
      <c r="D632" s="3"/>
      <c r="E632" s="3"/>
      <c r="F632" s="3"/>
      <c r="G632" s="3"/>
    </row>
    <row r="633" spans="1:7" x14ac:dyDescent="0.2">
      <c r="A633" s="3"/>
      <c r="B633" s="4"/>
      <c r="C633" s="4"/>
      <c r="D633" s="3"/>
      <c r="E633" s="3"/>
      <c r="F633" s="3"/>
      <c r="G633" s="3"/>
    </row>
    <row r="634" spans="1:7" x14ac:dyDescent="0.2">
      <c r="A634" s="3"/>
      <c r="B634" s="4"/>
      <c r="C634" s="4"/>
      <c r="D634" s="3"/>
      <c r="E634" s="3"/>
      <c r="F634" s="3"/>
      <c r="G634" s="3"/>
    </row>
    <row r="635" spans="1:7" x14ac:dyDescent="0.2">
      <c r="A635" s="3"/>
      <c r="B635" s="4"/>
      <c r="C635" s="4"/>
      <c r="D635" s="3"/>
      <c r="E635" s="3"/>
      <c r="F635" s="3"/>
      <c r="G635" s="3"/>
    </row>
    <row r="636" spans="1:7" x14ac:dyDescent="0.2">
      <c r="A636" s="3"/>
      <c r="B636" s="4"/>
      <c r="C636" s="4"/>
      <c r="D636" s="3"/>
      <c r="E636" s="3"/>
      <c r="F636" s="3"/>
      <c r="G636" s="3"/>
    </row>
    <row r="637" spans="1:7" x14ac:dyDescent="0.2">
      <c r="A637" s="3"/>
      <c r="B637" s="4"/>
      <c r="C637" s="4"/>
      <c r="D637" s="3"/>
      <c r="E637" s="3"/>
      <c r="F637" s="3"/>
      <c r="G637" s="3"/>
    </row>
    <row r="638" spans="1:7" x14ac:dyDescent="0.2">
      <c r="A638" s="3"/>
      <c r="B638" s="4"/>
      <c r="C638" s="4"/>
      <c r="D638" s="3"/>
      <c r="E638" s="3"/>
      <c r="F638" s="3"/>
      <c r="G638" s="3"/>
    </row>
    <row r="639" spans="1:7" x14ac:dyDescent="0.2">
      <c r="A639" s="3"/>
      <c r="B639" s="4"/>
      <c r="C639" s="4"/>
      <c r="D639" s="3"/>
      <c r="E639" s="3"/>
      <c r="F639" s="3"/>
      <c r="G639" s="3"/>
    </row>
    <row r="640" spans="1:7" x14ac:dyDescent="0.2">
      <c r="A640" s="3"/>
      <c r="B640" s="4"/>
      <c r="C640" s="4"/>
      <c r="D640" s="3"/>
      <c r="E640" s="3"/>
      <c r="F640" s="3"/>
      <c r="G640" s="3"/>
    </row>
    <row r="641" spans="1:7" x14ac:dyDescent="0.2">
      <c r="A641" s="3"/>
      <c r="B641" s="4"/>
      <c r="C641" s="4"/>
      <c r="D641" s="3"/>
      <c r="E641" s="3"/>
      <c r="F641" s="3"/>
      <c r="G641" s="3"/>
    </row>
    <row r="642" spans="1:7" x14ac:dyDescent="0.2">
      <c r="A642" s="3"/>
      <c r="B642" s="4"/>
      <c r="C642" s="4"/>
      <c r="D642" s="3"/>
      <c r="E642" s="3"/>
      <c r="F642" s="3"/>
      <c r="G642" s="3"/>
    </row>
    <row r="643" spans="1:7" x14ac:dyDescent="0.2">
      <c r="A643" s="3"/>
      <c r="B643" s="4"/>
      <c r="C643" s="4"/>
      <c r="D643" s="3"/>
      <c r="E643" s="3"/>
      <c r="F643" s="3"/>
      <c r="G643" s="3"/>
    </row>
    <row r="644" spans="1:7" x14ac:dyDescent="0.2">
      <c r="A644" s="3"/>
      <c r="B644" s="4"/>
      <c r="C644" s="4"/>
      <c r="D644" s="3"/>
      <c r="E644" s="3"/>
      <c r="F644" s="3"/>
      <c r="G644" s="3"/>
    </row>
    <row r="645" spans="1:7" x14ac:dyDescent="0.2">
      <c r="A645" s="3"/>
      <c r="B645" s="4"/>
      <c r="C645" s="4"/>
      <c r="D645" s="3"/>
      <c r="E645" s="3"/>
      <c r="F645" s="3"/>
      <c r="G645" s="3"/>
    </row>
    <row r="646" spans="1:7" x14ac:dyDescent="0.2">
      <c r="A646" s="3"/>
      <c r="B646" s="4"/>
      <c r="C646" s="4"/>
      <c r="D646" s="3"/>
      <c r="E646" s="3"/>
      <c r="F646" s="3"/>
      <c r="G646" s="3"/>
    </row>
    <row r="647" spans="1:7" x14ac:dyDescent="0.2">
      <c r="A647" s="3"/>
      <c r="B647" s="4"/>
      <c r="C647" s="4"/>
      <c r="D647" s="3"/>
      <c r="E647" s="3"/>
      <c r="F647" s="3"/>
      <c r="G647" s="3"/>
    </row>
    <row r="648" spans="1:7" x14ac:dyDescent="0.2">
      <c r="A648" s="3"/>
      <c r="B648" s="4"/>
      <c r="C648" s="4"/>
      <c r="D648" s="3"/>
      <c r="E648" s="3"/>
      <c r="F648" s="3"/>
      <c r="G648" s="3"/>
    </row>
    <row r="649" spans="1:7" x14ac:dyDescent="0.2">
      <c r="A649" s="3"/>
      <c r="B649" s="4"/>
      <c r="C649" s="4"/>
      <c r="D649" s="3"/>
      <c r="E649" s="3"/>
      <c r="F649" s="3"/>
      <c r="G649" s="3"/>
    </row>
    <row r="650" spans="1:7" x14ac:dyDescent="0.2">
      <c r="A650" s="3"/>
      <c r="B650" s="4"/>
      <c r="C650" s="4"/>
      <c r="D650" s="3"/>
      <c r="E650" s="3"/>
      <c r="F650" s="3"/>
      <c r="G650" s="3"/>
    </row>
    <row r="651" spans="1:7" x14ac:dyDescent="0.2">
      <c r="A651" s="3"/>
      <c r="B651" s="4"/>
      <c r="C651" s="4"/>
      <c r="D651" s="3"/>
      <c r="E651" s="3"/>
      <c r="F651" s="3"/>
      <c r="G651" s="3"/>
    </row>
    <row r="652" spans="1:7" x14ac:dyDescent="0.2">
      <c r="A652" s="3"/>
      <c r="B652" s="4"/>
      <c r="C652" s="4"/>
      <c r="D652" s="3"/>
      <c r="E652" s="3"/>
      <c r="F652" s="3"/>
      <c r="G652" s="3"/>
    </row>
    <row r="653" spans="1:7" x14ac:dyDescent="0.2">
      <c r="A653" s="3"/>
      <c r="B653" s="4"/>
      <c r="C653" s="4"/>
      <c r="D653" s="3"/>
      <c r="E653" s="3"/>
      <c r="F653" s="3"/>
      <c r="G653" s="3"/>
    </row>
    <row r="654" spans="1:7" x14ac:dyDescent="0.2">
      <c r="A654" s="3"/>
      <c r="B654" s="4"/>
      <c r="C654" s="4"/>
      <c r="D654" s="3"/>
      <c r="E654" s="3"/>
      <c r="F654" s="3"/>
      <c r="G654" s="3"/>
    </row>
    <row r="655" spans="1:7" x14ac:dyDescent="0.2">
      <c r="A655" s="3"/>
      <c r="B655" s="4"/>
      <c r="C655" s="4"/>
      <c r="D655" s="3"/>
      <c r="E655" s="3"/>
      <c r="F655" s="3"/>
      <c r="G655" s="3"/>
    </row>
    <row r="656" spans="1:7" x14ac:dyDescent="0.2">
      <c r="A656" s="3"/>
      <c r="B656" s="4"/>
      <c r="C656" s="4"/>
      <c r="D656" s="3"/>
      <c r="E656" s="3"/>
      <c r="F656" s="3"/>
      <c r="G656" s="3"/>
    </row>
    <row r="657" spans="1:7" x14ac:dyDescent="0.2">
      <c r="A657" s="3"/>
      <c r="B657" s="4"/>
      <c r="C657" s="4"/>
      <c r="D657" s="3"/>
      <c r="E657" s="3"/>
      <c r="F657" s="3"/>
      <c r="G657" s="3"/>
    </row>
    <row r="658" spans="1:7" x14ac:dyDescent="0.2">
      <c r="A658" s="3"/>
      <c r="B658" s="4"/>
      <c r="C658" s="4"/>
      <c r="D658" s="3"/>
      <c r="E658" s="3"/>
      <c r="F658" s="3"/>
      <c r="G658" s="3"/>
    </row>
    <row r="659" spans="1:7" x14ac:dyDescent="0.2">
      <c r="A659" s="3"/>
      <c r="B659" s="4"/>
      <c r="C659" s="4"/>
      <c r="D659" s="3"/>
      <c r="E659" s="3"/>
      <c r="F659" s="3"/>
      <c r="G659" s="3"/>
    </row>
    <row r="660" spans="1:7" x14ac:dyDescent="0.2">
      <c r="A660" s="3"/>
      <c r="B660" s="4"/>
      <c r="C660" s="4"/>
      <c r="D660" s="3"/>
      <c r="E660" s="3"/>
      <c r="F660" s="3"/>
      <c r="G660" s="3"/>
    </row>
    <row r="661" spans="1:7" x14ac:dyDescent="0.2">
      <c r="A661" s="3"/>
      <c r="B661" s="4"/>
      <c r="C661" s="4"/>
      <c r="D661" s="3"/>
      <c r="E661" s="3"/>
      <c r="F661" s="3"/>
      <c r="G661" s="3"/>
    </row>
    <row r="662" spans="1:7" x14ac:dyDescent="0.2">
      <c r="A662" s="3"/>
      <c r="B662" s="4"/>
      <c r="C662" s="4"/>
      <c r="D662" s="3"/>
      <c r="E662" s="3"/>
      <c r="F662" s="3"/>
      <c r="G662" s="3"/>
    </row>
    <row r="663" spans="1:7" x14ac:dyDescent="0.2">
      <c r="A663" s="3"/>
      <c r="B663" s="4"/>
      <c r="C663" s="4"/>
      <c r="D663" s="3"/>
      <c r="E663" s="3"/>
      <c r="F663" s="3"/>
      <c r="G663" s="3"/>
    </row>
    <row r="664" spans="1:7" x14ac:dyDescent="0.2">
      <c r="A664" s="3"/>
      <c r="B664" s="4"/>
      <c r="C664" s="4"/>
      <c r="D664" s="3"/>
      <c r="E664" s="3"/>
      <c r="F664" s="3"/>
      <c r="G664" s="3"/>
    </row>
    <row r="665" spans="1:7" x14ac:dyDescent="0.2">
      <c r="A665" s="3"/>
      <c r="B665" s="4"/>
      <c r="C665" s="4"/>
      <c r="D665" s="3"/>
      <c r="E665" s="3"/>
      <c r="F665" s="3"/>
      <c r="G665" s="3"/>
    </row>
    <row r="666" spans="1:7" x14ac:dyDescent="0.2">
      <c r="A666" s="3"/>
      <c r="B666" s="4"/>
      <c r="C666" s="4"/>
      <c r="D666" s="3"/>
      <c r="E666" s="3"/>
      <c r="F666" s="3"/>
      <c r="G666" s="3"/>
    </row>
    <row r="667" spans="1:7" x14ac:dyDescent="0.2">
      <c r="A667" s="3"/>
      <c r="B667" s="4"/>
      <c r="C667" s="4"/>
      <c r="D667" s="3"/>
      <c r="E667" s="3"/>
      <c r="F667" s="3"/>
      <c r="G667" s="3"/>
    </row>
    <row r="668" spans="1:7" x14ac:dyDescent="0.2">
      <c r="A668" s="3"/>
      <c r="B668" s="4"/>
      <c r="C668" s="4"/>
      <c r="D668" s="3"/>
      <c r="E668" s="3"/>
      <c r="F668" s="3"/>
      <c r="G668" s="3"/>
    </row>
    <row r="669" spans="1:7" x14ac:dyDescent="0.2">
      <c r="A669" s="3"/>
      <c r="B669" s="4"/>
      <c r="C669" s="4"/>
      <c r="D669" s="3"/>
      <c r="E669" s="3"/>
      <c r="F669" s="3"/>
      <c r="G669" s="3"/>
    </row>
    <row r="670" spans="1:7" x14ac:dyDescent="0.2">
      <c r="A670" s="3"/>
      <c r="B670" s="4"/>
      <c r="C670" s="4"/>
      <c r="D670" s="3"/>
      <c r="E670" s="3"/>
      <c r="F670" s="3"/>
      <c r="G670" s="3"/>
    </row>
    <row r="671" spans="1:7" x14ac:dyDescent="0.2">
      <c r="A671" s="3"/>
      <c r="B671" s="4"/>
      <c r="C671" s="4"/>
      <c r="D671" s="3"/>
      <c r="E671" s="3"/>
      <c r="F671" s="3"/>
      <c r="G671" s="3"/>
    </row>
    <row r="672" spans="1:7" x14ac:dyDescent="0.2">
      <c r="A672" s="3"/>
      <c r="B672" s="4"/>
      <c r="C672" s="4"/>
      <c r="D672" s="3"/>
      <c r="E672" s="3"/>
      <c r="F672" s="3"/>
      <c r="G672" s="3"/>
    </row>
    <row r="673" spans="1:7" x14ac:dyDescent="0.2">
      <c r="A673" s="3"/>
      <c r="B673" s="4"/>
      <c r="C673" s="4"/>
      <c r="D673" s="3"/>
      <c r="E673" s="3"/>
      <c r="F673" s="3"/>
      <c r="G673" s="3"/>
    </row>
    <row r="674" spans="1:7" x14ac:dyDescent="0.2">
      <c r="A674" s="3"/>
      <c r="B674" s="4"/>
      <c r="C674" s="4"/>
      <c r="D674" s="3"/>
      <c r="E674" s="3"/>
      <c r="F674" s="3"/>
      <c r="G674" s="3"/>
    </row>
    <row r="675" spans="1:7" x14ac:dyDescent="0.2">
      <c r="A675" s="3"/>
      <c r="B675" s="4"/>
      <c r="C675" s="4"/>
      <c r="D675" s="3"/>
      <c r="E675" s="3"/>
      <c r="F675" s="3"/>
      <c r="G675" s="3"/>
    </row>
    <row r="676" spans="1:7" x14ac:dyDescent="0.2">
      <c r="A676" s="3"/>
      <c r="B676" s="4"/>
      <c r="C676" s="4"/>
      <c r="D676" s="3"/>
      <c r="E676" s="3"/>
      <c r="F676" s="3"/>
      <c r="G676" s="3"/>
    </row>
    <row r="677" spans="1:7" x14ac:dyDescent="0.2">
      <c r="A677" s="3"/>
      <c r="B677" s="4"/>
      <c r="C677" s="4"/>
      <c r="D677" s="3"/>
      <c r="E677" s="3"/>
      <c r="F677" s="3"/>
      <c r="G677" s="3"/>
    </row>
    <row r="678" spans="1:7" x14ac:dyDescent="0.2">
      <c r="A678" s="3"/>
      <c r="B678" s="4"/>
      <c r="C678" s="4"/>
      <c r="D678" s="3"/>
      <c r="E678" s="3"/>
      <c r="F678" s="3"/>
      <c r="G678" s="3"/>
    </row>
    <row r="679" spans="1:7" x14ac:dyDescent="0.2">
      <c r="A679" s="3"/>
      <c r="B679" s="4"/>
      <c r="C679" s="4"/>
      <c r="D679" s="3"/>
      <c r="E679" s="3"/>
      <c r="F679" s="3"/>
      <c r="G679" s="3"/>
    </row>
    <row r="680" spans="1:7" x14ac:dyDescent="0.2">
      <c r="A680" s="3"/>
      <c r="B680" s="4"/>
      <c r="C680" s="4"/>
      <c r="D680" s="3"/>
      <c r="E680" s="3"/>
      <c r="F680" s="3"/>
      <c r="G680" s="3"/>
    </row>
    <row r="681" spans="1:7" x14ac:dyDescent="0.2">
      <c r="A681" s="3"/>
      <c r="B681" s="4"/>
      <c r="C681" s="4"/>
      <c r="D681" s="3"/>
      <c r="E681" s="3"/>
      <c r="F681" s="3"/>
      <c r="G681" s="3"/>
    </row>
    <row r="682" spans="1:7" x14ac:dyDescent="0.2">
      <c r="A682" s="3"/>
      <c r="B682" s="4"/>
      <c r="C682" s="4"/>
      <c r="D682" s="3"/>
      <c r="E682" s="3"/>
      <c r="F682" s="3"/>
      <c r="G682" s="3"/>
    </row>
    <row r="683" spans="1:7" x14ac:dyDescent="0.2">
      <c r="A683" s="3"/>
      <c r="B683" s="4"/>
      <c r="C683" s="4"/>
      <c r="D683" s="3"/>
      <c r="E683" s="3"/>
      <c r="F683" s="3"/>
      <c r="G683" s="3"/>
    </row>
    <row r="684" spans="1:7" x14ac:dyDescent="0.2">
      <c r="A684" s="3"/>
      <c r="B684" s="4"/>
      <c r="C684" s="4"/>
      <c r="D684" s="3"/>
      <c r="E684" s="3"/>
      <c r="F684" s="3"/>
      <c r="G684" s="3"/>
    </row>
    <row r="685" spans="1:7" x14ac:dyDescent="0.2">
      <c r="A685" s="3"/>
      <c r="B685" s="4"/>
      <c r="C685" s="4"/>
      <c r="D685" s="3"/>
      <c r="E685" s="3"/>
      <c r="F685" s="3"/>
      <c r="G685" s="3"/>
    </row>
    <row r="686" spans="1:7" x14ac:dyDescent="0.2">
      <c r="A686" s="3"/>
      <c r="B686" s="4"/>
      <c r="C686" s="4"/>
      <c r="D686" s="3"/>
      <c r="E686" s="3"/>
      <c r="F686" s="3"/>
      <c r="G686" s="3"/>
    </row>
    <row r="687" spans="1:7" x14ac:dyDescent="0.2">
      <c r="A687" s="3"/>
      <c r="B687" s="4"/>
      <c r="C687" s="4"/>
      <c r="D687" s="3"/>
      <c r="E687" s="3"/>
      <c r="F687" s="3"/>
      <c r="G687" s="3"/>
    </row>
    <row r="688" spans="1:7" x14ac:dyDescent="0.2">
      <c r="A688" s="3"/>
      <c r="B688" s="4"/>
      <c r="C688" s="4"/>
      <c r="D688" s="3"/>
      <c r="E688" s="3"/>
      <c r="F688" s="3"/>
      <c r="G688" s="3"/>
    </row>
    <row r="689" spans="1:7" x14ac:dyDescent="0.2">
      <c r="A689" s="3"/>
      <c r="B689" s="4"/>
      <c r="C689" s="4"/>
      <c r="D689" s="3"/>
      <c r="E689" s="3"/>
      <c r="F689" s="3"/>
      <c r="G689" s="3"/>
    </row>
    <row r="690" spans="1:7" x14ac:dyDescent="0.2">
      <c r="A690" s="3"/>
      <c r="B690" s="4"/>
      <c r="C690" s="4"/>
      <c r="D690" s="3"/>
      <c r="E690" s="3"/>
      <c r="F690" s="3"/>
      <c r="G690" s="3"/>
    </row>
    <row r="691" spans="1:7" x14ac:dyDescent="0.2">
      <c r="A691" s="3"/>
      <c r="B691" s="4"/>
      <c r="C691" s="4"/>
      <c r="D691" s="3"/>
      <c r="E691" s="3"/>
      <c r="F691" s="3"/>
      <c r="G691" s="3"/>
    </row>
    <row r="692" spans="1:7" x14ac:dyDescent="0.2">
      <c r="A692" s="3"/>
      <c r="B692" s="4"/>
      <c r="C692" s="4"/>
      <c r="D692" s="3"/>
      <c r="E692" s="3"/>
      <c r="F692" s="3"/>
      <c r="G692" s="3"/>
    </row>
    <row r="693" spans="1:7" x14ac:dyDescent="0.2">
      <c r="A693" s="3"/>
      <c r="B693" s="4"/>
      <c r="C693" s="4"/>
      <c r="D693" s="3"/>
      <c r="E693" s="3"/>
      <c r="F693" s="3"/>
      <c r="G693" s="3"/>
    </row>
    <row r="694" spans="1:7" x14ac:dyDescent="0.2">
      <c r="A694" s="3"/>
      <c r="B694" s="4"/>
      <c r="C694" s="4"/>
      <c r="D694" s="3"/>
      <c r="E694" s="3"/>
      <c r="F694" s="3"/>
      <c r="G694" s="3"/>
    </row>
    <row r="695" spans="1:7" x14ac:dyDescent="0.2">
      <c r="A695" s="3"/>
      <c r="B695" s="4"/>
      <c r="C695" s="4"/>
      <c r="D695" s="3"/>
      <c r="E695" s="3"/>
      <c r="F695" s="3"/>
      <c r="G695" s="3"/>
    </row>
    <row r="696" spans="1:7" x14ac:dyDescent="0.2">
      <c r="A696" s="3"/>
      <c r="B696" s="4"/>
      <c r="C696" s="4"/>
      <c r="D696" s="3"/>
      <c r="E696" s="3"/>
      <c r="F696" s="3"/>
      <c r="G696" s="3"/>
    </row>
    <row r="697" spans="1:7" x14ac:dyDescent="0.2">
      <c r="A697" s="3"/>
      <c r="B697" s="4"/>
      <c r="C697" s="4"/>
      <c r="D697" s="3"/>
      <c r="E697" s="3"/>
      <c r="F697" s="3"/>
      <c r="G697" s="3"/>
    </row>
    <row r="698" spans="1:7" x14ac:dyDescent="0.2">
      <c r="A698" s="3"/>
      <c r="B698" s="4"/>
      <c r="C698" s="4"/>
      <c r="D698" s="3"/>
      <c r="E698" s="3"/>
      <c r="F698" s="3"/>
      <c r="G698" s="3"/>
    </row>
    <row r="699" spans="1:7" x14ac:dyDescent="0.2">
      <c r="A699" s="3"/>
      <c r="B699" s="4"/>
      <c r="C699" s="4"/>
      <c r="D699" s="3"/>
      <c r="E699" s="3"/>
      <c r="F699" s="3"/>
      <c r="G699" s="3"/>
    </row>
    <row r="700" spans="1:7" x14ac:dyDescent="0.2">
      <c r="A700" s="3"/>
      <c r="B700" s="4"/>
      <c r="C700" s="4"/>
      <c r="D700" s="3"/>
      <c r="E700" s="3"/>
      <c r="F700" s="3"/>
      <c r="G700" s="3"/>
    </row>
    <row r="701" spans="1:7" x14ac:dyDescent="0.2">
      <c r="A701" s="3"/>
      <c r="B701" s="4"/>
      <c r="C701" s="4"/>
      <c r="D701" s="3"/>
      <c r="E701" s="3"/>
      <c r="F701" s="3"/>
      <c r="G701" s="3"/>
    </row>
    <row r="702" spans="1:7" x14ac:dyDescent="0.2">
      <c r="A702" s="3"/>
      <c r="B702" s="4"/>
      <c r="C702" s="4"/>
      <c r="D702" s="3"/>
      <c r="E702" s="3"/>
      <c r="F702" s="3"/>
      <c r="G702" s="3"/>
    </row>
    <row r="703" spans="1:7" x14ac:dyDescent="0.2">
      <c r="A703" s="3"/>
      <c r="B703" s="4"/>
      <c r="C703" s="4"/>
      <c r="D703" s="3"/>
      <c r="E703" s="3"/>
      <c r="F703" s="3"/>
      <c r="G703" s="3"/>
    </row>
    <row r="704" spans="1:7" x14ac:dyDescent="0.2">
      <c r="A704" s="3"/>
      <c r="B704" s="4"/>
      <c r="C704" s="4"/>
      <c r="D704" s="3"/>
      <c r="E704" s="3"/>
      <c r="F704" s="3"/>
      <c r="G704" s="3"/>
    </row>
    <row r="705" spans="1:7" x14ac:dyDescent="0.2">
      <c r="A705" s="3"/>
      <c r="B705" s="4"/>
      <c r="C705" s="4"/>
      <c r="D705" s="3"/>
      <c r="E705" s="3"/>
      <c r="F705" s="3"/>
      <c r="G705" s="3"/>
    </row>
    <row r="706" spans="1:7" x14ac:dyDescent="0.2">
      <c r="A706" s="3"/>
      <c r="B706" s="4"/>
      <c r="C706" s="4"/>
      <c r="D706" s="3"/>
      <c r="E706" s="3"/>
      <c r="F706" s="3"/>
      <c r="G706" s="3"/>
    </row>
    <row r="707" spans="1:7" x14ac:dyDescent="0.2">
      <c r="A707" s="3"/>
      <c r="B707" s="4"/>
      <c r="C707" s="4"/>
      <c r="D707" s="3"/>
      <c r="E707" s="3"/>
      <c r="F707" s="3"/>
      <c r="G707" s="3"/>
    </row>
    <row r="708" spans="1:7" x14ac:dyDescent="0.2">
      <c r="A708" s="3"/>
      <c r="B708" s="4"/>
      <c r="C708" s="4"/>
      <c r="D708" s="3"/>
      <c r="E708" s="3"/>
      <c r="F708" s="3"/>
      <c r="G708" s="3"/>
    </row>
    <row r="709" spans="1:7" x14ac:dyDescent="0.2">
      <c r="A709" s="3"/>
      <c r="B709" s="4"/>
      <c r="C709" s="4"/>
      <c r="D709" s="3"/>
      <c r="E709" s="3"/>
      <c r="F709" s="3"/>
      <c r="G709" s="3"/>
    </row>
    <row r="710" spans="1:7" x14ac:dyDescent="0.2">
      <c r="A710" s="3"/>
      <c r="B710" s="4"/>
      <c r="C710" s="4"/>
      <c r="D710" s="3"/>
      <c r="E710" s="3"/>
      <c r="F710" s="3"/>
      <c r="G710" s="3"/>
    </row>
    <row r="711" spans="1:7" x14ac:dyDescent="0.2">
      <c r="A711" s="3"/>
      <c r="B711" s="4"/>
      <c r="C711" s="4"/>
      <c r="D711" s="3"/>
      <c r="E711" s="3"/>
      <c r="F711" s="3"/>
      <c r="G711" s="3"/>
    </row>
    <row r="712" spans="1:7" x14ac:dyDescent="0.2">
      <c r="A712" s="3"/>
      <c r="B712" s="4"/>
      <c r="C712" s="4"/>
      <c r="D712" s="3"/>
      <c r="E712" s="3"/>
      <c r="F712" s="3"/>
      <c r="G712" s="3"/>
    </row>
    <row r="713" spans="1:7" x14ac:dyDescent="0.2">
      <c r="A713" s="3"/>
      <c r="B713" s="4"/>
      <c r="C713" s="4"/>
      <c r="D713" s="3"/>
      <c r="E713" s="3"/>
      <c r="F713" s="3"/>
      <c r="G713" s="3"/>
    </row>
    <row r="714" spans="1:7" x14ac:dyDescent="0.2">
      <c r="A714" s="3"/>
      <c r="B714" s="4"/>
      <c r="C714" s="4"/>
      <c r="D714" s="3"/>
      <c r="E714" s="3"/>
      <c r="F714" s="3"/>
      <c r="G714" s="3"/>
    </row>
    <row r="715" spans="1:7" x14ac:dyDescent="0.2">
      <c r="A715" s="3"/>
      <c r="B715" s="4"/>
      <c r="C715" s="4"/>
      <c r="D715" s="3"/>
      <c r="E715" s="3"/>
      <c r="F715" s="3"/>
      <c r="G715" s="3"/>
    </row>
    <row r="716" spans="1:7" x14ac:dyDescent="0.2">
      <c r="A716" s="3"/>
      <c r="B716" s="4"/>
      <c r="C716" s="4"/>
      <c r="D716" s="3"/>
      <c r="E716" s="3"/>
      <c r="F716" s="3"/>
      <c r="G716" s="3"/>
    </row>
    <row r="717" spans="1:7" x14ac:dyDescent="0.2">
      <c r="A717" s="3"/>
      <c r="B717" s="4"/>
      <c r="C717" s="4"/>
      <c r="D717" s="3"/>
      <c r="E717" s="3"/>
      <c r="F717" s="3"/>
      <c r="G717" s="3"/>
    </row>
    <row r="718" spans="1:7" x14ac:dyDescent="0.2">
      <c r="A718" s="3"/>
      <c r="B718" s="4"/>
      <c r="C718" s="4"/>
      <c r="D718" s="3"/>
      <c r="E718" s="3"/>
      <c r="F718" s="3"/>
      <c r="G718" s="3"/>
    </row>
    <row r="719" spans="1:7" x14ac:dyDescent="0.2">
      <c r="A719" s="3"/>
      <c r="B719" s="4"/>
      <c r="C719" s="4"/>
      <c r="D719" s="3"/>
      <c r="E719" s="3"/>
      <c r="F719" s="3"/>
      <c r="G719" s="3"/>
    </row>
    <row r="720" spans="1:7" x14ac:dyDescent="0.2">
      <c r="A720" s="3"/>
      <c r="B720" s="4"/>
      <c r="C720" s="4"/>
      <c r="D720" s="3"/>
      <c r="E720" s="3"/>
      <c r="F720" s="3"/>
      <c r="G720" s="3"/>
    </row>
    <row r="721" spans="1:7" x14ac:dyDescent="0.2">
      <c r="A721" s="3"/>
      <c r="B721" s="4"/>
      <c r="C721" s="4"/>
      <c r="D721" s="3"/>
      <c r="E721" s="3"/>
      <c r="F721" s="3"/>
      <c r="G721" s="3"/>
    </row>
    <row r="722" spans="1:7" x14ac:dyDescent="0.2">
      <c r="A722" s="3"/>
      <c r="B722" s="4"/>
      <c r="C722" s="4"/>
      <c r="D722" s="3"/>
      <c r="E722" s="3"/>
      <c r="F722" s="3"/>
      <c r="G722" s="3"/>
    </row>
    <row r="723" spans="1:7" x14ac:dyDescent="0.2">
      <c r="A723" s="3"/>
      <c r="B723" s="4"/>
      <c r="C723" s="4"/>
      <c r="D723" s="3"/>
      <c r="E723" s="3"/>
      <c r="F723" s="3"/>
      <c r="G723" s="3"/>
    </row>
    <row r="724" spans="1:7" x14ac:dyDescent="0.2">
      <c r="A724" s="3"/>
      <c r="B724" s="4"/>
      <c r="C724" s="4"/>
      <c r="D724" s="3"/>
      <c r="E724" s="3"/>
      <c r="F724" s="3"/>
      <c r="G724" s="3"/>
    </row>
    <row r="725" spans="1:7" x14ac:dyDescent="0.2">
      <c r="A725" s="3"/>
      <c r="B725" s="4"/>
      <c r="C725" s="4"/>
      <c r="D725" s="3"/>
      <c r="E725" s="3"/>
      <c r="F725" s="3"/>
      <c r="G725" s="3"/>
    </row>
    <row r="726" spans="1:7" x14ac:dyDescent="0.2">
      <c r="A726" s="3"/>
      <c r="B726" s="4"/>
      <c r="C726" s="4"/>
      <c r="D726" s="3"/>
      <c r="E726" s="3"/>
      <c r="F726" s="3"/>
      <c r="G726" s="3"/>
    </row>
    <row r="727" spans="1:7" x14ac:dyDescent="0.2">
      <c r="A727" s="3"/>
      <c r="B727" s="4"/>
      <c r="C727" s="4"/>
      <c r="D727" s="3"/>
      <c r="E727" s="3"/>
      <c r="F727" s="3"/>
      <c r="G727" s="3"/>
    </row>
    <row r="728" spans="1:7" x14ac:dyDescent="0.2">
      <c r="A728" s="3"/>
      <c r="B728" s="4"/>
      <c r="C728" s="4"/>
      <c r="D728" s="3"/>
      <c r="E728" s="3"/>
      <c r="F728" s="3"/>
      <c r="G728" s="3"/>
    </row>
    <row r="729" spans="1:7" x14ac:dyDescent="0.2">
      <c r="A729" s="3"/>
      <c r="B729" s="4"/>
      <c r="C729" s="4"/>
      <c r="D729" s="3"/>
      <c r="E729" s="3"/>
      <c r="F729" s="3"/>
      <c r="G729" s="3"/>
    </row>
    <row r="730" spans="1:7" x14ac:dyDescent="0.2">
      <c r="A730" s="3"/>
      <c r="B730" s="4"/>
      <c r="C730" s="4"/>
      <c r="D730" s="3"/>
      <c r="E730" s="3"/>
      <c r="F730" s="3"/>
      <c r="G730" s="3"/>
    </row>
    <row r="731" spans="1:7" x14ac:dyDescent="0.2">
      <c r="A731" s="3"/>
      <c r="B731" s="4"/>
      <c r="C731" s="4"/>
      <c r="D731" s="3"/>
      <c r="E731" s="3"/>
      <c r="F731" s="3"/>
      <c r="G731" s="3"/>
    </row>
    <row r="732" spans="1:7" x14ac:dyDescent="0.2">
      <c r="A732" s="3"/>
      <c r="B732" s="4"/>
      <c r="C732" s="4"/>
      <c r="D732" s="3"/>
      <c r="E732" s="3"/>
      <c r="F732" s="3"/>
      <c r="G732" s="3"/>
    </row>
    <row r="733" spans="1:7" x14ac:dyDescent="0.2">
      <c r="A733" s="3"/>
      <c r="B733" s="4"/>
      <c r="C733" s="4"/>
      <c r="D733" s="3"/>
      <c r="E733" s="3"/>
      <c r="F733" s="3"/>
      <c r="G733" s="3"/>
    </row>
    <row r="734" spans="1:7" x14ac:dyDescent="0.2">
      <c r="A734" s="3"/>
      <c r="B734" s="4"/>
      <c r="C734" s="4"/>
      <c r="D734" s="3"/>
      <c r="E734" s="3"/>
      <c r="F734" s="3"/>
      <c r="G734" s="3"/>
    </row>
    <row r="735" spans="1:7" x14ac:dyDescent="0.2">
      <c r="A735" s="3"/>
      <c r="B735" s="4"/>
      <c r="C735" s="4"/>
      <c r="D735" s="3"/>
      <c r="E735" s="3"/>
      <c r="F735" s="3"/>
      <c r="G735" s="3"/>
    </row>
    <row r="736" spans="1:7" x14ac:dyDescent="0.2">
      <c r="A736" s="3"/>
      <c r="B736" s="4"/>
      <c r="C736" s="4"/>
      <c r="D736" s="3"/>
      <c r="E736" s="3"/>
      <c r="F736" s="3"/>
      <c r="G736" s="3"/>
    </row>
    <row r="737" spans="1:7" x14ac:dyDescent="0.2">
      <c r="A737" s="3"/>
      <c r="B737" s="4"/>
      <c r="C737" s="4"/>
      <c r="D737" s="3"/>
      <c r="E737" s="3"/>
      <c r="F737" s="3"/>
      <c r="G737" s="3"/>
    </row>
    <row r="738" spans="1:7" x14ac:dyDescent="0.2">
      <c r="A738" s="3"/>
      <c r="B738" s="4"/>
      <c r="C738" s="4"/>
      <c r="D738" s="3"/>
      <c r="E738" s="3"/>
      <c r="F738" s="3"/>
      <c r="G738" s="3"/>
    </row>
    <row r="739" spans="1:7" x14ac:dyDescent="0.2">
      <c r="A739" s="3"/>
      <c r="B739" s="4"/>
      <c r="C739" s="4"/>
      <c r="D739" s="3"/>
      <c r="E739" s="3"/>
      <c r="F739" s="3"/>
      <c r="G739" s="3"/>
    </row>
    <row r="740" spans="1:7" x14ac:dyDescent="0.2">
      <c r="A740" s="3"/>
      <c r="B740" s="4"/>
      <c r="C740" s="4"/>
      <c r="D740" s="3"/>
      <c r="E740" s="3"/>
      <c r="F740" s="3"/>
      <c r="G740" s="3"/>
    </row>
    <row r="741" spans="1:7" x14ac:dyDescent="0.2">
      <c r="A741" s="3"/>
      <c r="B741" s="4"/>
      <c r="C741" s="4"/>
      <c r="D741" s="3"/>
      <c r="E741" s="3"/>
      <c r="F741" s="3"/>
      <c r="G741" s="3"/>
    </row>
    <row r="742" spans="1:7" x14ac:dyDescent="0.2">
      <c r="A742" s="3"/>
      <c r="B742" s="4"/>
      <c r="C742" s="4"/>
      <c r="D742" s="3"/>
      <c r="E742" s="3"/>
      <c r="F742" s="3"/>
      <c r="G742" s="3"/>
    </row>
    <row r="743" spans="1:7" x14ac:dyDescent="0.2">
      <c r="A743" s="3"/>
      <c r="B743" s="4"/>
      <c r="C743" s="4"/>
      <c r="D743" s="3"/>
      <c r="E743" s="3"/>
      <c r="F743" s="3"/>
      <c r="G743" s="3"/>
    </row>
    <row r="744" spans="1:7" x14ac:dyDescent="0.2">
      <c r="A744" s="3"/>
      <c r="B744" s="4"/>
      <c r="C744" s="4"/>
      <c r="D744" s="3"/>
      <c r="E744" s="3"/>
      <c r="F744" s="3"/>
      <c r="G744" s="3"/>
    </row>
    <row r="745" spans="1:7" x14ac:dyDescent="0.2">
      <c r="A745" s="3"/>
      <c r="B745" s="4"/>
      <c r="C745" s="4"/>
      <c r="D745" s="3"/>
      <c r="E745" s="3"/>
      <c r="F745" s="3"/>
      <c r="G745" s="3"/>
    </row>
    <row r="746" spans="1:7" x14ac:dyDescent="0.2">
      <c r="A746" s="3"/>
      <c r="B746" s="4"/>
      <c r="C746" s="4"/>
      <c r="D746" s="3"/>
      <c r="E746" s="3"/>
      <c r="F746" s="3"/>
      <c r="G746" s="3"/>
    </row>
    <row r="747" spans="1:7" x14ac:dyDescent="0.2">
      <c r="A747" s="3"/>
      <c r="B747" s="4"/>
      <c r="C747" s="4"/>
      <c r="D747" s="3"/>
      <c r="E747" s="3"/>
      <c r="F747" s="3"/>
      <c r="G747" s="3"/>
    </row>
    <row r="748" spans="1:7" x14ac:dyDescent="0.2">
      <c r="A748" s="3"/>
      <c r="B748" s="4"/>
      <c r="C748" s="4"/>
      <c r="D748" s="3"/>
      <c r="E748" s="3"/>
      <c r="F748" s="3"/>
      <c r="G748" s="3"/>
    </row>
    <row r="749" spans="1:7" x14ac:dyDescent="0.2">
      <c r="A749" s="3"/>
      <c r="B749" s="4"/>
      <c r="C749" s="4"/>
      <c r="D749" s="3"/>
      <c r="E749" s="3"/>
      <c r="F749" s="3"/>
      <c r="G749" s="3"/>
    </row>
    <row r="750" spans="1:7" x14ac:dyDescent="0.2">
      <c r="A750" s="3"/>
      <c r="B750" s="4"/>
      <c r="C750" s="4"/>
      <c r="D750" s="3"/>
      <c r="E750" s="3"/>
      <c r="F750" s="3"/>
      <c r="G750" s="3"/>
    </row>
    <row r="751" spans="1:7" x14ac:dyDescent="0.2">
      <c r="A751" s="3"/>
      <c r="B751" s="4"/>
      <c r="C751" s="4"/>
      <c r="D751" s="3"/>
      <c r="E751" s="3"/>
      <c r="F751" s="3"/>
      <c r="G751" s="3"/>
    </row>
    <row r="752" spans="1:7" x14ac:dyDescent="0.2">
      <c r="A752" s="3"/>
      <c r="B752" s="4"/>
      <c r="C752" s="4"/>
      <c r="D752" s="3"/>
      <c r="E752" s="3"/>
      <c r="F752" s="3"/>
      <c r="G752" s="3"/>
    </row>
    <row r="753" spans="1:7" x14ac:dyDescent="0.2">
      <c r="A753" s="3"/>
      <c r="B753" s="4"/>
      <c r="C753" s="4"/>
      <c r="D753" s="3"/>
      <c r="E753" s="3"/>
      <c r="F753" s="3"/>
      <c r="G753" s="3"/>
    </row>
    <row r="754" spans="1:7" x14ac:dyDescent="0.2">
      <c r="A754" s="3"/>
      <c r="B754" s="4"/>
      <c r="C754" s="4"/>
      <c r="D754" s="3"/>
      <c r="E754" s="3"/>
      <c r="F754" s="3"/>
      <c r="G754" s="3"/>
    </row>
    <row r="755" spans="1:7" x14ac:dyDescent="0.2">
      <c r="A755" s="3"/>
      <c r="B755" s="4"/>
      <c r="C755" s="4"/>
      <c r="D755" s="3"/>
      <c r="E755" s="3"/>
      <c r="F755" s="3"/>
      <c r="G755" s="3"/>
    </row>
    <row r="756" spans="1:7" x14ac:dyDescent="0.2">
      <c r="A756" s="3"/>
      <c r="B756" s="4"/>
      <c r="C756" s="4"/>
      <c r="D756" s="3"/>
      <c r="E756" s="3"/>
      <c r="F756" s="3"/>
      <c r="G756" s="3"/>
    </row>
    <row r="757" spans="1:7" x14ac:dyDescent="0.2">
      <c r="A757" s="3"/>
      <c r="B757" s="4"/>
      <c r="C757" s="4"/>
      <c r="D757" s="3"/>
      <c r="E757" s="3"/>
      <c r="F757" s="3"/>
      <c r="G757" s="3"/>
    </row>
    <row r="758" spans="1:7" x14ac:dyDescent="0.2">
      <c r="A758" s="3"/>
      <c r="B758" s="4"/>
      <c r="C758" s="4"/>
      <c r="D758" s="3"/>
      <c r="E758" s="3"/>
      <c r="F758" s="3"/>
      <c r="G758" s="3"/>
    </row>
    <row r="759" spans="1:7" x14ac:dyDescent="0.2">
      <c r="A759" s="3"/>
      <c r="B759" s="4"/>
      <c r="C759" s="4"/>
      <c r="D759" s="3"/>
      <c r="E759" s="3"/>
      <c r="F759" s="3"/>
      <c r="G759" s="3"/>
    </row>
    <row r="760" spans="1:7" x14ac:dyDescent="0.2">
      <c r="A760" s="3"/>
      <c r="B760" s="4"/>
      <c r="C760" s="4"/>
      <c r="D760" s="3"/>
      <c r="E760" s="3"/>
      <c r="F760" s="3"/>
      <c r="G760" s="3"/>
    </row>
    <row r="761" spans="1:7" x14ac:dyDescent="0.2">
      <c r="A761" s="3"/>
      <c r="B761" s="4"/>
      <c r="C761" s="4"/>
      <c r="D761" s="3"/>
      <c r="E761" s="3"/>
      <c r="F761" s="3"/>
      <c r="G761" s="3"/>
    </row>
    <row r="762" spans="1:7" x14ac:dyDescent="0.2">
      <c r="A762" s="3"/>
      <c r="B762" s="4"/>
      <c r="C762" s="4"/>
      <c r="D762" s="3"/>
      <c r="E762" s="3"/>
      <c r="F762" s="3"/>
      <c r="G762" s="3"/>
    </row>
    <row r="763" spans="1:7" x14ac:dyDescent="0.2">
      <c r="A763" s="3"/>
      <c r="B763" s="4"/>
      <c r="C763" s="4"/>
      <c r="D763" s="3"/>
      <c r="E763" s="3"/>
      <c r="F763" s="3"/>
      <c r="G763" s="3"/>
    </row>
    <row r="764" spans="1:7" x14ac:dyDescent="0.2">
      <c r="A764" s="3"/>
      <c r="B764" s="4"/>
      <c r="C764" s="4"/>
      <c r="D764" s="3"/>
      <c r="E764" s="3"/>
      <c r="F764" s="3"/>
      <c r="G764" s="3"/>
    </row>
    <row r="765" spans="1:7" x14ac:dyDescent="0.2">
      <c r="A765" s="3"/>
      <c r="B765" s="4"/>
      <c r="C765" s="4"/>
      <c r="D765" s="3"/>
      <c r="E765" s="3"/>
      <c r="F765" s="3"/>
      <c r="G765" s="3"/>
    </row>
    <row r="766" spans="1:7" x14ac:dyDescent="0.2">
      <c r="A766" s="3"/>
      <c r="B766" s="4"/>
      <c r="C766" s="4"/>
      <c r="D766" s="3"/>
      <c r="E766" s="3"/>
      <c r="F766" s="3"/>
      <c r="G766" s="3"/>
    </row>
    <row r="767" spans="1:7" x14ac:dyDescent="0.2">
      <c r="A767" s="3"/>
      <c r="B767" s="4"/>
      <c r="C767" s="4"/>
      <c r="D767" s="3"/>
      <c r="E767" s="3"/>
      <c r="F767" s="3"/>
      <c r="G767" s="3"/>
    </row>
    <row r="768" spans="1:7" x14ac:dyDescent="0.2">
      <c r="A768" s="3"/>
      <c r="B768" s="4"/>
      <c r="C768" s="4"/>
      <c r="D768" s="3"/>
      <c r="E768" s="3"/>
      <c r="F768" s="3"/>
      <c r="G768" s="3"/>
    </row>
    <row r="769" spans="1:7" x14ac:dyDescent="0.2">
      <c r="A769" s="3"/>
      <c r="B769" s="4"/>
      <c r="C769" s="4"/>
      <c r="D769" s="3"/>
      <c r="E769" s="3"/>
      <c r="F769" s="3"/>
      <c r="G769" s="3"/>
    </row>
    <row r="770" spans="1:7" x14ac:dyDescent="0.2">
      <c r="A770" s="3"/>
      <c r="B770" s="4"/>
      <c r="C770" s="4"/>
      <c r="D770" s="3"/>
      <c r="E770" s="3"/>
      <c r="F770" s="3"/>
      <c r="G770" s="3"/>
    </row>
    <row r="771" spans="1:7" x14ac:dyDescent="0.2">
      <c r="A771" s="3"/>
      <c r="B771" s="4"/>
      <c r="C771" s="4"/>
      <c r="D771" s="3"/>
      <c r="E771" s="3"/>
      <c r="F771" s="3"/>
      <c r="G771" s="3"/>
    </row>
    <row r="772" spans="1:7" x14ac:dyDescent="0.2">
      <c r="A772" s="3"/>
      <c r="B772" s="4"/>
      <c r="C772" s="4"/>
      <c r="D772" s="3"/>
      <c r="E772" s="3"/>
      <c r="F772" s="3"/>
      <c r="G772" s="3"/>
    </row>
    <row r="773" spans="1:7" x14ac:dyDescent="0.2">
      <c r="A773" s="3"/>
      <c r="B773" s="4"/>
      <c r="C773" s="4"/>
      <c r="D773" s="3"/>
      <c r="E773" s="3"/>
      <c r="F773" s="3"/>
      <c r="G773" s="3"/>
    </row>
    <row r="774" spans="1:7" x14ac:dyDescent="0.2">
      <c r="A774" s="3"/>
      <c r="B774" s="4"/>
      <c r="C774" s="4"/>
      <c r="D774" s="3"/>
      <c r="E774" s="3"/>
      <c r="F774" s="3"/>
      <c r="G774" s="3"/>
    </row>
    <row r="775" spans="1:7" x14ac:dyDescent="0.2">
      <c r="A775" s="3"/>
      <c r="B775" s="4"/>
      <c r="C775" s="4"/>
      <c r="D775" s="3"/>
      <c r="E775" s="3"/>
      <c r="F775" s="3"/>
      <c r="G775" s="3"/>
    </row>
    <row r="776" spans="1:7" x14ac:dyDescent="0.2">
      <c r="A776" s="3"/>
      <c r="B776" s="4"/>
      <c r="C776" s="4"/>
      <c r="D776" s="3"/>
      <c r="E776" s="3"/>
      <c r="F776" s="3"/>
      <c r="G776" s="3"/>
    </row>
    <row r="777" spans="1:7" x14ac:dyDescent="0.2">
      <c r="A777" s="3"/>
      <c r="B777" s="4"/>
      <c r="C777" s="4"/>
      <c r="D777" s="3"/>
      <c r="E777" s="3"/>
      <c r="F777" s="3"/>
      <c r="G777" s="3"/>
    </row>
    <row r="778" spans="1:7" x14ac:dyDescent="0.2">
      <c r="A778" s="3"/>
      <c r="B778" s="4"/>
      <c r="C778" s="4"/>
      <c r="D778" s="3"/>
      <c r="E778" s="3"/>
      <c r="F778" s="3"/>
      <c r="G778" s="3"/>
    </row>
    <row r="779" spans="1:7" x14ac:dyDescent="0.2">
      <c r="A779" s="3"/>
      <c r="B779" s="4"/>
      <c r="C779" s="4"/>
      <c r="D779" s="3"/>
      <c r="E779" s="3"/>
      <c r="F779" s="3"/>
      <c r="G779" s="3"/>
    </row>
    <row r="780" spans="1:7" x14ac:dyDescent="0.2">
      <c r="A780" s="3"/>
      <c r="B780" s="4"/>
      <c r="C780" s="4"/>
      <c r="D780" s="3"/>
      <c r="E780" s="3"/>
      <c r="F780" s="3"/>
      <c r="G780" s="3"/>
    </row>
    <row r="781" spans="1:7" x14ac:dyDescent="0.2">
      <c r="A781" s="3"/>
      <c r="B781" s="4"/>
      <c r="C781" s="4"/>
      <c r="D781" s="3"/>
      <c r="E781" s="3"/>
      <c r="F781" s="3"/>
      <c r="G781" s="3"/>
    </row>
    <row r="782" spans="1:7" x14ac:dyDescent="0.2">
      <c r="A782" s="3"/>
      <c r="B782" s="4"/>
      <c r="C782" s="4"/>
      <c r="D782" s="3"/>
      <c r="E782" s="3"/>
      <c r="F782" s="3"/>
      <c r="G782" s="3"/>
    </row>
    <row r="783" spans="1:7" x14ac:dyDescent="0.2">
      <c r="A783" s="3"/>
      <c r="B783" s="4"/>
      <c r="C783" s="4"/>
      <c r="D783" s="3"/>
      <c r="E783" s="3"/>
      <c r="F783" s="3"/>
      <c r="G783" s="3"/>
    </row>
    <row r="784" spans="1:7" x14ac:dyDescent="0.2">
      <c r="A784" s="3"/>
      <c r="B784" s="4"/>
      <c r="C784" s="4"/>
      <c r="D784" s="3"/>
      <c r="E784" s="3"/>
      <c r="F784" s="3"/>
      <c r="G784" s="3"/>
    </row>
    <row r="785" spans="1:7" x14ac:dyDescent="0.2">
      <c r="A785" s="3"/>
      <c r="B785" s="4"/>
      <c r="C785" s="4"/>
      <c r="D785" s="3"/>
      <c r="E785" s="3"/>
      <c r="F785" s="3"/>
      <c r="G785" s="3"/>
    </row>
    <row r="786" spans="1:7" x14ac:dyDescent="0.2">
      <c r="A786" s="3"/>
      <c r="B786" s="4"/>
      <c r="C786" s="4"/>
      <c r="D786" s="3"/>
      <c r="E786" s="3"/>
      <c r="F786" s="3"/>
      <c r="G786" s="3"/>
    </row>
    <row r="787" spans="1:7" x14ac:dyDescent="0.2">
      <c r="A787" s="3"/>
      <c r="B787" s="4"/>
      <c r="C787" s="4"/>
      <c r="D787" s="3"/>
      <c r="E787" s="3"/>
      <c r="F787" s="3"/>
      <c r="G787" s="3"/>
    </row>
    <row r="788" spans="1:7" x14ac:dyDescent="0.2">
      <c r="A788" s="3"/>
      <c r="B788" s="4"/>
      <c r="C788" s="4"/>
      <c r="D788" s="3"/>
      <c r="E788" s="3"/>
      <c r="F788" s="3"/>
      <c r="G788" s="3"/>
    </row>
    <row r="789" spans="1:7" x14ac:dyDescent="0.2">
      <c r="A789" s="3"/>
      <c r="B789" s="4"/>
      <c r="C789" s="4"/>
      <c r="D789" s="3"/>
      <c r="E789" s="3"/>
      <c r="F789" s="3"/>
      <c r="G789" s="3"/>
    </row>
    <row r="790" spans="1:7" x14ac:dyDescent="0.2">
      <c r="A790" s="3"/>
      <c r="B790" s="4"/>
      <c r="C790" s="4"/>
      <c r="D790" s="3"/>
      <c r="E790" s="3"/>
      <c r="F790" s="3"/>
      <c r="G790" s="3"/>
    </row>
    <row r="791" spans="1:7" x14ac:dyDescent="0.2">
      <c r="A791" s="3"/>
      <c r="B791" s="4"/>
      <c r="C791" s="4"/>
      <c r="D791" s="3"/>
      <c r="E791" s="3"/>
      <c r="F791" s="3"/>
      <c r="G791" s="3"/>
    </row>
    <row r="792" spans="1:7" x14ac:dyDescent="0.2">
      <c r="A792" s="3"/>
      <c r="B792" s="4"/>
      <c r="C792" s="4"/>
      <c r="D792" s="3"/>
      <c r="E792" s="3"/>
      <c r="F792" s="3"/>
      <c r="G792" s="3"/>
    </row>
    <row r="793" spans="1:7" x14ac:dyDescent="0.2">
      <c r="A793" s="3"/>
      <c r="B793" s="4"/>
      <c r="C793" s="4"/>
      <c r="D793" s="3"/>
      <c r="E793" s="3"/>
      <c r="F793" s="3"/>
      <c r="G793" s="3"/>
    </row>
    <row r="794" spans="1:7" x14ac:dyDescent="0.2">
      <c r="A794" s="3"/>
      <c r="B794" s="4"/>
      <c r="C794" s="4"/>
      <c r="D794" s="3"/>
      <c r="E794" s="3"/>
      <c r="F794" s="3"/>
      <c r="G794" s="3"/>
    </row>
    <row r="795" spans="1:7" x14ac:dyDescent="0.2">
      <c r="A795" s="3"/>
      <c r="B795" s="4"/>
      <c r="C795" s="4"/>
      <c r="D795" s="3"/>
      <c r="E795" s="3"/>
      <c r="F795" s="3"/>
      <c r="G795" s="3"/>
    </row>
    <row r="796" spans="1:7" x14ac:dyDescent="0.2">
      <c r="A796" s="3"/>
      <c r="B796" s="4"/>
      <c r="C796" s="4"/>
      <c r="D796" s="3"/>
      <c r="E796" s="3"/>
      <c r="F796" s="3"/>
      <c r="G796" s="3"/>
    </row>
    <row r="797" spans="1:7" x14ac:dyDescent="0.2">
      <c r="A797" s="3"/>
      <c r="B797" s="4"/>
      <c r="C797" s="4"/>
      <c r="D797" s="3"/>
      <c r="E797" s="3"/>
      <c r="F797" s="3"/>
      <c r="G797" s="3"/>
    </row>
    <row r="798" spans="1:7" x14ac:dyDescent="0.2">
      <c r="A798" s="3"/>
      <c r="B798" s="4"/>
      <c r="C798" s="4"/>
      <c r="D798" s="3"/>
      <c r="E798" s="3"/>
      <c r="F798" s="3"/>
      <c r="G798" s="3"/>
    </row>
    <row r="799" spans="1:7" x14ac:dyDescent="0.2">
      <c r="A799" s="3"/>
      <c r="B799" s="4"/>
      <c r="C799" s="4"/>
      <c r="D799" s="3"/>
      <c r="E799" s="3"/>
      <c r="F799" s="3"/>
      <c r="G799" s="3"/>
    </row>
    <row r="800" spans="1:7" x14ac:dyDescent="0.2">
      <c r="A800" s="3"/>
      <c r="B800" s="4"/>
      <c r="C800" s="4"/>
      <c r="D800" s="3"/>
      <c r="E800" s="3"/>
      <c r="F800" s="3"/>
      <c r="G800" s="3"/>
    </row>
    <row r="801" spans="1:7" x14ac:dyDescent="0.2">
      <c r="A801" s="3"/>
      <c r="B801" s="4"/>
      <c r="C801" s="4"/>
      <c r="D801" s="3"/>
      <c r="E801" s="3"/>
      <c r="F801" s="3"/>
      <c r="G801" s="3"/>
    </row>
    <row r="802" spans="1:7" x14ac:dyDescent="0.2">
      <c r="A802" s="3"/>
      <c r="B802" s="4"/>
      <c r="C802" s="4"/>
      <c r="D802" s="3"/>
      <c r="E802" s="3"/>
      <c r="F802" s="3"/>
      <c r="G802" s="3"/>
    </row>
    <row r="803" spans="1:7" x14ac:dyDescent="0.2">
      <c r="A803" s="3"/>
      <c r="B803" s="4"/>
      <c r="C803" s="4"/>
      <c r="D803" s="3"/>
      <c r="E803" s="3"/>
      <c r="F803" s="3"/>
      <c r="G803" s="3"/>
    </row>
    <row r="804" spans="1:7" x14ac:dyDescent="0.2">
      <c r="A804" s="3"/>
      <c r="B804" s="4"/>
      <c r="C804" s="4"/>
      <c r="D804" s="3"/>
      <c r="E804" s="3"/>
      <c r="F804" s="3"/>
      <c r="G804" s="3"/>
    </row>
    <row r="805" spans="1:7" x14ac:dyDescent="0.2">
      <c r="A805" s="3"/>
      <c r="B805" s="4"/>
      <c r="C805" s="4"/>
      <c r="D805" s="3"/>
      <c r="E805" s="3"/>
      <c r="F805" s="3"/>
      <c r="G805" s="3"/>
    </row>
    <row r="806" spans="1:7" x14ac:dyDescent="0.2">
      <c r="A806" s="3"/>
      <c r="B806" s="4"/>
      <c r="C806" s="4"/>
      <c r="D806" s="3"/>
      <c r="E806" s="3"/>
      <c r="F806" s="3"/>
      <c r="G806" s="3"/>
    </row>
    <row r="807" spans="1:7" x14ac:dyDescent="0.2">
      <c r="A807" s="3"/>
      <c r="B807" s="4"/>
      <c r="C807" s="4"/>
      <c r="D807" s="3"/>
      <c r="E807" s="3"/>
      <c r="F807" s="3"/>
      <c r="G807" s="3"/>
    </row>
    <row r="808" spans="1:7" x14ac:dyDescent="0.2">
      <c r="A808" s="3"/>
      <c r="B808" s="4"/>
      <c r="C808" s="4"/>
      <c r="D808" s="3"/>
      <c r="E808" s="3"/>
      <c r="F808" s="3"/>
      <c r="G808" s="3"/>
    </row>
    <row r="809" spans="1:7" x14ac:dyDescent="0.2">
      <c r="A809" s="3"/>
      <c r="B809" s="4"/>
      <c r="C809" s="4"/>
      <c r="D809" s="3"/>
      <c r="E809" s="3"/>
      <c r="F809" s="3"/>
      <c r="G809" s="3"/>
    </row>
    <row r="810" spans="1:7" x14ac:dyDescent="0.2">
      <c r="A810" s="3"/>
      <c r="B810" s="4"/>
      <c r="C810" s="4"/>
      <c r="D810" s="3"/>
      <c r="E810" s="3"/>
      <c r="F810" s="3"/>
      <c r="G810" s="3"/>
    </row>
    <row r="811" spans="1:7" x14ac:dyDescent="0.2">
      <c r="A811" s="3"/>
      <c r="B811" s="4"/>
      <c r="C811" s="4"/>
      <c r="D811" s="3"/>
      <c r="E811" s="3"/>
      <c r="F811" s="3"/>
      <c r="G811" s="3"/>
    </row>
    <row r="812" spans="1:7" x14ac:dyDescent="0.2">
      <c r="A812" s="3"/>
      <c r="B812" s="4"/>
      <c r="C812" s="4"/>
      <c r="D812" s="3"/>
      <c r="E812" s="3"/>
      <c r="F812" s="3"/>
      <c r="G812" s="3"/>
    </row>
    <row r="813" spans="1:7" x14ac:dyDescent="0.2">
      <c r="A813" s="3"/>
      <c r="B813" s="4"/>
      <c r="C813" s="4"/>
      <c r="D813" s="3"/>
      <c r="E813" s="3"/>
      <c r="F813" s="3"/>
      <c r="G813" s="3"/>
    </row>
    <row r="814" spans="1:7" x14ac:dyDescent="0.2">
      <c r="A814" s="3"/>
      <c r="B814" s="4"/>
      <c r="C814" s="4"/>
      <c r="D814" s="3"/>
      <c r="E814" s="3"/>
      <c r="F814" s="3"/>
      <c r="G814" s="3"/>
    </row>
    <row r="815" spans="1:7" x14ac:dyDescent="0.2">
      <c r="A815" s="3"/>
      <c r="B815" s="4"/>
      <c r="C815" s="4"/>
      <c r="D815" s="3"/>
      <c r="E815" s="3"/>
      <c r="F815" s="3"/>
      <c r="G815" s="3"/>
    </row>
    <row r="816" spans="1:7" x14ac:dyDescent="0.2">
      <c r="A816" s="3"/>
      <c r="B816" s="4"/>
      <c r="C816" s="4"/>
      <c r="D816" s="3"/>
      <c r="E816" s="3"/>
      <c r="F816" s="3"/>
      <c r="G816" s="3"/>
    </row>
    <row r="817" spans="1:7" x14ac:dyDescent="0.2">
      <c r="A817" s="3"/>
      <c r="B817" s="4"/>
      <c r="C817" s="4"/>
      <c r="D817" s="3"/>
      <c r="E817" s="3"/>
      <c r="F817" s="3"/>
      <c r="G817" s="3"/>
    </row>
    <row r="818" spans="1:7" x14ac:dyDescent="0.2">
      <c r="A818" s="3"/>
      <c r="B818" s="4"/>
      <c r="C818" s="4"/>
      <c r="D818" s="3"/>
      <c r="E818" s="3"/>
      <c r="F818" s="3"/>
      <c r="G818" s="3"/>
    </row>
    <row r="819" spans="1:7" x14ac:dyDescent="0.2">
      <c r="A819" s="3"/>
      <c r="B819" s="4"/>
      <c r="C819" s="4"/>
      <c r="D819" s="3"/>
      <c r="E819" s="3"/>
      <c r="F819" s="3"/>
      <c r="G819" s="3"/>
    </row>
    <row r="820" spans="1:7" x14ac:dyDescent="0.2">
      <c r="A820" s="3"/>
      <c r="B820" s="4"/>
      <c r="C820" s="4"/>
      <c r="D820" s="3"/>
      <c r="E820" s="3"/>
      <c r="F820" s="3"/>
      <c r="G820" s="3"/>
    </row>
    <row r="821" spans="1:7" x14ac:dyDescent="0.2">
      <c r="A821" s="3"/>
      <c r="B821" s="4"/>
      <c r="C821" s="4"/>
      <c r="D821" s="3"/>
      <c r="E821" s="3"/>
      <c r="F821" s="3"/>
      <c r="G821" s="3"/>
    </row>
    <row r="822" spans="1:7" x14ac:dyDescent="0.2">
      <c r="A822" s="3"/>
      <c r="B822" s="4"/>
      <c r="C822" s="4"/>
      <c r="D822" s="3"/>
      <c r="E822" s="3"/>
      <c r="F822" s="3"/>
      <c r="G822" s="3"/>
    </row>
    <row r="823" spans="1:7" x14ac:dyDescent="0.2">
      <c r="A823" s="3"/>
      <c r="B823" s="4"/>
      <c r="C823" s="4"/>
      <c r="D823" s="3"/>
      <c r="E823" s="3"/>
      <c r="F823" s="3"/>
      <c r="G823" s="3"/>
    </row>
    <row r="824" spans="1:7" x14ac:dyDescent="0.2">
      <c r="A824" s="3"/>
      <c r="B824" s="4"/>
      <c r="C824" s="4"/>
      <c r="D824" s="3"/>
      <c r="E824" s="3"/>
      <c r="F824" s="3"/>
      <c r="G824" s="3"/>
    </row>
    <row r="825" spans="1:7" x14ac:dyDescent="0.2">
      <c r="A825" s="3"/>
      <c r="B825" s="4"/>
      <c r="C825" s="4"/>
      <c r="D825" s="3"/>
      <c r="E825" s="3"/>
      <c r="F825" s="3"/>
      <c r="G825" s="3"/>
    </row>
    <row r="826" spans="1:7" x14ac:dyDescent="0.2">
      <c r="A826" s="3"/>
      <c r="B826" s="4"/>
      <c r="C826" s="4"/>
      <c r="D826" s="3"/>
      <c r="E826" s="3"/>
      <c r="F826" s="3"/>
      <c r="G826" s="3"/>
    </row>
    <row r="827" spans="1:7" x14ac:dyDescent="0.2">
      <c r="A827" s="3"/>
      <c r="B827" s="4"/>
      <c r="C827" s="4"/>
      <c r="D827" s="3"/>
      <c r="E827" s="3"/>
      <c r="F827" s="3"/>
      <c r="G827" s="3"/>
    </row>
    <row r="828" spans="1:7" x14ac:dyDescent="0.2">
      <c r="A828" s="3"/>
      <c r="B828" s="4"/>
      <c r="C828" s="4"/>
      <c r="D828" s="3"/>
      <c r="E828" s="3"/>
      <c r="F828" s="3"/>
      <c r="G828" s="3"/>
    </row>
    <row r="829" spans="1:7" x14ac:dyDescent="0.2">
      <c r="A829" s="3"/>
      <c r="B829" s="4"/>
      <c r="C829" s="4"/>
      <c r="D829" s="3"/>
      <c r="E829" s="3"/>
      <c r="F829" s="3"/>
      <c r="G829" s="3"/>
    </row>
    <row r="830" spans="1:7" x14ac:dyDescent="0.2">
      <c r="A830" s="3"/>
      <c r="B830" s="4"/>
      <c r="C830" s="4"/>
      <c r="D830" s="3"/>
      <c r="E830" s="3"/>
      <c r="F830" s="3"/>
      <c r="G830" s="3"/>
    </row>
    <row r="831" spans="1:7" x14ac:dyDescent="0.2">
      <c r="A831" s="3"/>
      <c r="B831" s="4"/>
      <c r="C831" s="4"/>
      <c r="D831" s="3"/>
      <c r="E831" s="3"/>
      <c r="F831" s="3"/>
      <c r="G831" s="3"/>
    </row>
    <row r="832" spans="1:7" x14ac:dyDescent="0.2">
      <c r="A832" s="3"/>
      <c r="B832" s="4"/>
      <c r="C832" s="4"/>
      <c r="D832" s="3"/>
      <c r="E832" s="3"/>
      <c r="F832" s="3"/>
      <c r="G832" s="3"/>
    </row>
    <row r="833" spans="1:7" x14ac:dyDescent="0.2">
      <c r="A833" s="3"/>
      <c r="B833" s="4"/>
      <c r="C833" s="4"/>
      <c r="D833" s="3"/>
      <c r="E833" s="3"/>
      <c r="F833" s="3"/>
      <c r="G833" s="3"/>
    </row>
    <row r="834" spans="1:7" x14ac:dyDescent="0.2">
      <c r="A834" s="3"/>
      <c r="B834" s="4"/>
      <c r="C834" s="4"/>
      <c r="D834" s="3"/>
      <c r="E834" s="3"/>
      <c r="F834" s="3"/>
      <c r="G834" s="3"/>
    </row>
    <row r="835" spans="1:7" x14ac:dyDescent="0.2">
      <c r="A835" s="3"/>
      <c r="B835" s="4"/>
      <c r="C835" s="4"/>
      <c r="D835" s="3"/>
      <c r="E835" s="3"/>
      <c r="F835" s="3"/>
      <c r="G835" s="3"/>
    </row>
    <row r="836" spans="1:7" x14ac:dyDescent="0.2">
      <c r="A836" s="3"/>
      <c r="B836" s="4"/>
      <c r="C836" s="4"/>
      <c r="D836" s="3"/>
      <c r="E836" s="3"/>
      <c r="F836" s="3"/>
      <c r="G836" s="3"/>
    </row>
    <row r="837" spans="1:7" x14ac:dyDescent="0.2">
      <c r="A837" s="3"/>
      <c r="B837" s="4"/>
      <c r="C837" s="4"/>
      <c r="D837" s="3"/>
      <c r="E837" s="3"/>
      <c r="F837" s="3"/>
      <c r="G837" s="3"/>
    </row>
    <row r="838" spans="1:7" x14ac:dyDescent="0.2">
      <c r="A838" s="3"/>
      <c r="B838" s="4"/>
      <c r="C838" s="4"/>
      <c r="D838" s="3"/>
      <c r="E838" s="3"/>
      <c r="F838" s="3"/>
      <c r="G838" s="3"/>
    </row>
    <row r="839" spans="1:7" x14ac:dyDescent="0.2">
      <c r="A839" s="3"/>
      <c r="B839" s="4"/>
      <c r="C839" s="4"/>
      <c r="D839" s="3"/>
      <c r="E839" s="3"/>
      <c r="F839" s="3"/>
      <c r="G839" s="3"/>
    </row>
    <row r="840" spans="1:7" x14ac:dyDescent="0.2">
      <c r="A840" s="3"/>
      <c r="B840" s="4"/>
      <c r="C840" s="4"/>
      <c r="D840" s="3"/>
      <c r="E840" s="3"/>
      <c r="F840" s="3"/>
      <c r="G840" s="3"/>
    </row>
    <row r="841" spans="1:7" x14ac:dyDescent="0.2">
      <c r="A841" s="3"/>
      <c r="B841" s="4"/>
      <c r="C841" s="4"/>
      <c r="D841" s="3"/>
      <c r="E841" s="3"/>
      <c r="F841" s="3"/>
      <c r="G841" s="3"/>
    </row>
    <row r="842" spans="1:7" x14ac:dyDescent="0.2">
      <c r="A842" s="3"/>
      <c r="B842" s="4"/>
      <c r="C842" s="4"/>
      <c r="D842" s="3"/>
      <c r="E842" s="3"/>
      <c r="F842" s="3"/>
      <c r="G842" s="3"/>
    </row>
    <row r="843" spans="1:7" x14ac:dyDescent="0.2">
      <c r="A843" s="3"/>
      <c r="B843" s="4"/>
      <c r="C843" s="4"/>
      <c r="D843" s="3"/>
      <c r="E843" s="3"/>
      <c r="F843" s="3"/>
      <c r="G843" s="3"/>
    </row>
    <row r="844" spans="1:7" x14ac:dyDescent="0.2">
      <c r="A844" s="3"/>
      <c r="B844" s="4"/>
      <c r="C844" s="4"/>
      <c r="D844" s="3"/>
      <c r="E844" s="3"/>
      <c r="F844" s="3"/>
      <c r="G844" s="3"/>
    </row>
    <row r="845" spans="1:7" x14ac:dyDescent="0.2">
      <c r="A845" s="3"/>
      <c r="B845" s="4"/>
      <c r="C845" s="4"/>
      <c r="D845" s="3"/>
      <c r="E845" s="3"/>
      <c r="F845" s="3"/>
      <c r="G845" s="3"/>
    </row>
    <row r="846" spans="1:7" x14ac:dyDescent="0.2">
      <c r="A846" s="3"/>
      <c r="B846" s="4"/>
      <c r="C846" s="4"/>
      <c r="D846" s="3"/>
      <c r="E846" s="3"/>
      <c r="F846" s="3"/>
      <c r="G846" s="3"/>
    </row>
    <row r="847" spans="1:7" x14ac:dyDescent="0.2">
      <c r="A847" s="3"/>
      <c r="B847" s="4"/>
      <c r="C847" s="4"/>
      <c r="D847" s="3"/>
      <c r="E847" s="3"/>
      <c r="F847" s="3"/>
      <c r="G847" s="3"/>
    </row>
    <row r="848" spans="1:7" x14ac:dyDescent="0.2">
      <c r="A848" s="3"/>
      <c r="B848" s="4"/>
      <c r="C848" s="4"/>
      <c r="D848" s="3"/>
      <c r="E848" s="3"/>
      <c r="F848" s="3"/>
      <c r="G848" s="3"/>
    </row>
    <row r="849" spans="1:7" x14ac:dyDescent="0.2">
      <c r="A849" s="3"/>
      <c r="B849" s="4"/>
      <c r="C849" s="4"/>
      <c r="D849" s="3"/>
      <c r="E849" s="3"/>
      <c r="F849" s="3"/>
      <c r="G849" s="3"/>
    </row>
    <row r="850" spans="1:7" x14ac:dyDescent="0.2">
      <c r="A850" s="3"/>
      <c r="B850" s="4"/>
      <c r="C850" s="4"/>
      <c r="D850" s="3"/>
      <c r="E850" s="3"/>
      <c r="F850" s="3"/>
      <c r="G850" s="3"/>
    </row>
    <row r="851" spans="1:7" x14ac:dyDescent="0.2">
      <c r="A851" s="3"/>
      <c r="B851" s="4"/>
      <c r="C851" s="4"/>
      <c r="D851" s="3"/>
      <c r="E851" s="3"/>
      <c r="F851" s="3"/>
      <c r="G851" s="3"/>
    </row>
    <row r="852" spans="1:7" x14ac:dyDescent="0.2">
      <c r="A852" s="3"/>
      <c r="B852" s="4"/>
      <c r="C852" s="4"/>
      <c r="D852" s="3"/>
      <c r="E852" s="3"/>
      <c r="F852" s="3"/>
      <c r="G852" s="3"/>
    </row>
    <row r="853" spans="1:7" x14ac:dyDescent="0.2">
      <c r="A853" s="3"/>
      <c r="B853" s="4"/>
      <c r="C853" s="4"/>
      <c r="D853" s="3"/>
      <c r="E853" s="3"/>
      <c r="F853" s="3"/>
      <c r="G853" s="3"/>
    </row>
    <row r="854" spans="1:7" x14ac:dyDescent="0.2">
      <c r="A854" s="3"/>
      <c r="B854" s="4"/>
      <c r="C854" s="4"/>
      <c r="D854" s="3"/>
      <c r="E854" s="3"/>
      <c r="F854" s="3"/>
      <c r="G854" s="3"/>
    </row>
    <row r="855" spans="1:7" x14ac:dyDescent="0.2">
      <c r="A855" s="3"/>
      <c r="B855" s="4"/>
      <c r="C855" s="4"/>
      <c r="D855" s="3"/>
      <c r="E855" s="3"/>
      <c r="F855" s="3"/>
      <c r="G855" s="3"/>
    </row>
    <row r="856" spans="1:7" x14ac:dyDescent="0.2">
      <c r="A856" s="3"/>
      <c r="B856" s="4"/>
      <c r="C856" s="4"/>
      <c r="D856" s="3"/>
      <c r="E856" s="3"/>
      <c r="F856" s="3"/>
      <c r="G856" s="3"/>
    </row>
    <row r="857" spans="1:7" x14ac:dyDescent="0.2">
      <c r="A857" s="3"/>
      <c r="B857" s="4"/>
      <c r="C857" s="4"/>
      <c r="D857" s="3"/>
      <c r="E857" s="3"/>
      <c r="F857" s="3"/>
      <c r="G857" s="3"/>
    </row>
    <row r="858" spans="1:7" x14ac:dyDescent="0.2">
      <c r="A858" s="3"/>
      <c r="B858" s="4"/>
      <c r="C858" s="4"/>
      <c r="D858" s="3"/>
      <c r="E858" s="3"/>
      <c r="F858" s="3"/>
      <c r="G858" s="3"/>
    </row>
    <row r="859" spans="1:7" x14ac:dyDescent="0.2">
      <c r="A859" s="3"/>
      <c r="B859" s="4"/>
      <c r="C859" s="4"/>
      <c r="D859" s="3"/>
      <c r="E859" s="3"/>
      <c r="F859" s="3"/>
      <c r="G859" s="3"/>
    </row>
    <row r="860" spans="1:7" x14ac:dyDescent="0.2">
      <c r="A860" s="3"/>
      <c r="B860" s="4"/>
      <c r="C860" s="4"/>
      <c r="D860" s="3"/>
      <c r="E860" s="3"/>
      <c r="F860" s="3"/>
      <c r="G860" s="3"/>
    </row>
    <row r="861" spans="1:7" x14ac:dyDescent="0.2">
      <c r="A861" s="3"/>
      <c r="B861" s="4"/>
      <c r="C861" s="4"/>
      <c r="D861" s="3"/>
      <c r="E861" s="3"/>
      <c r="F861" s="3"/>
      <c r="G861" s="3"/>
    </row>
    <row r="862" spans="1:7" x14ac:dyDescent="0.2">
      <c r="A862" s="3"/>
      <c r="B862" s="4"/>
      <c r="C862" s="4"/>
      <c r="D862" s="3"/>
      <c r="E862" s="3"/>
      <c r="F862" s="3"/>
      <c r="G862" s="3"/>
    </row>
    <row r="863" spans="1:7" x14ac:dyDescent="0.2">
      <c r="A863" s="3"/>
      <c r="B863" s="4"/>
      <c r="C863" s="4"/>
      <c r="D863" s="3"/>
      <c r="E863" s="3"/>
      <c r="F863" s="3"/>
      <c r="G863" s="3"/>
    </row>
    <row r="864" spans="1:7" x14ac:dyDescent="0.2">
      <c r="A864" s="3"/>
      <c r="B864" s="4"/>
      <c r="C864" s="4"/>
      <c r="D864" s="3"/>
      <c r="E864" s="3"/>
      <c r="F864" s="3"/>
      <c r="G864" s="3"/>
    </row>
    <row r="865" spans="1:7" x14ac:dyDescent="0.2">
      <c r="A865" s="3"/>
      <c r="B865" s="4"/>
      <c r="C865" s="4"/>
      <c r="D865" s="3"/>
      <c r="E865" s="3"/>
      <c r="F865" s="3"/>
      <c r="G865" s="3"/>
    </row>
    <row r="866" spans="1:7" x14ac:dyDescent="0.2">
      <c r="A866" s="3"/>
      <c r="B866" s="4"/>
      <c r="C866" s="4"/>
      <c r="D866" s="3"/>
      <c r="E866" s="3"/>
      <c r="F866" s="3"/>
      <c r="G866" s="3"/>
    </row>
    <row r="867" spans="1:7" x14ac:dyDescent="0.2">
      <c r="A867" s="3"/>
      <c r="B867" s="4"/>
      <c r="C867" s="4"/>
      <c r="D867" s="3"/>
      <c r="E867" s="3"/>
      <c r="F867" s="3"/>
      <c r="G867" s="3"/>
    </row>
    <row r="868" spans="1:7" x14ac:dyDescent="0.2">
      <c r="A868" s="3"/>
      <c r="B868" s="4"/>
      <c r="C868" s="4"/>
      <c r="D868" s="3"/>
      <c r="E868" s="3"/>
      <c r="F868" s="3"/>
      <c r="G868" s="3"/>
    </row>
    <row r="869" spans="1:7" x14ac:dyDescent="0.2">
      <c r="A869" s="3"/>
      <c r="B869" s="4"/>
      <c r="C869" s="4"/>
      <c r="D869" s="3"/>
      <c r="E869" s="3"/>
      <c r="F869" s="3"/>
      <c r="G869" s="3"/>
    </row>
    <row r="870" spans="1:7" x14ac:dyDescent="0.2">
      <c r="A870" s="3"/>
      <c r="B870" s="4"/>
      <c r="C870" s="4"/>
      <c r="D870" s="3"/>
      <c r="E870" s="3"/>
      <c r="F870" s="3"/>
      <c r="G870" s="3"/>
    </row>
    <row r="871" spans="1:7" x14ac:dyDescent="0.2">
      <c r="A871" s="3"/>
      <c r="B871" s="4"/>
      <c r="C871" s="4"/>
      <c r="D871" s="3"/>
      <c r="E871" s="3"/>
      <c r="F871" s="3"/>
      <c r="G871" s="3"/>
    </row>
    <row r="872" spans="1:7" x14ac:dyDescent="0.2">
      <c r="A872" s="3"/>
      <c r="B872" s="4"/>
      <c r="C872" s="4"/>
      <c r="D872" s="3"/>
      <c r="E872" s="3"/>
      <c r="F872" s="3"/>
      <c r="G872" s="3"/>
    </row>
    <row r="873" spans="1:7" x14ac:dyDescent="0.2">
      <c r="A873" s="3"/>
      <c r="B873" s="4"/>
      <c r="C873" s="4"/>
      <c r="D873" s="3"/>
      <c r="E873" s="3"/>
      <c r="F873" s="3"/>
      <c r="G873" s="3"/>
    </row>
    <row r="874" spans="1:7" x14ac:dyDescent="0.2">
      <c r="A874" s="3"/>
      <c r="B874" s="4"/>
      <c r="C874" s="4"/>
      <c r="D874" s="3"/>
      <c r="E874" s="3"/>
      <c r="F874" s="3"/>
      <c r="G874" s="3"/>
    </row>
    <row r="875" spans="1:7" x14ac:dyDescent="0.2">
      <c r="A875" s="3"/>
      <c r="B875" s="4"/>
      <c r="C875" s="4"/>
      <c r="D875" s="3"/>
      <c r="E875" s="3"/>
      <c r="F875" s="3"/>
      <c r="G875" s="3"/>
    </row>
    <row r="876" spans="1:7" x14ac:dyDescent="0.2">
      <c r="A876" s="3"/>
      <c r="B876" s="4"/>
      <c r="C876" s="4"/>
      <c r="D876" s="3"/>
      <c r="E876" s="3"/>
      <c r="F876" s="3"/>
      <c r="G876" s="3"/>
    </row>
    <row r="877" spans="1:7" x14ac:dyDescent="0.2">
      <c r="A877" s="3"/>
      <c r="B877" s="4"/>
      <c r="C877" s="4"/>
      <c r="D877" s="3"/>
      <c r="E877" s="3"/>
      <c r="F877" s="3"/>
      <c r="G877" s="3"/>
    </row>
    <row r="878" spans="1:7" x14ac:dyDescent="0.2">
      <c r="A878" s="3"/>
      <c r="B878" s="4"/>
      <c r="C878" s="4"/>
      <c r="D878" s="3"/>
      <c r="E878" s="3"/>
      <c r="F878" s="3"/>
      <c r="G878" s="3"/>
    </row>
    <row r="879" spans="1:7" x14ac:dyDescent="0.2">
      <c r="A879" s="3"/>
      <c r="B879" s="4"/>
      <c r="C879" s="4"/>
      <c r="D879" s="3"/>
      <c r="E879" s="3"/>
      <c r="F879" s="3"/>
      <c r="G879" s="3"/>
    </row>
    <row r="880" spans="1:7" x14ac:dyDescent="0.2">
      <c r="A880" s="3"/>
      <c r="B880" s="4"/>
      <c r="C880" s="4"/>
      <c r="D880" s="3"/>
      <c r="E880" s="3"/>
      <c r="F880" s="3"/>
      <c r="G880" s="3"/>
    </row>
    <row r="881" spans="1:7" x14ac:dyDescent="0.2">
      <c r="A881" s="3"/>
      <c r="B881" s="4"/>
      <c r="C881" s="4"/>
      <c r="D881" s="3"/>
      <c r="E881" s="3"/>
      <c r="F881" s="3"/>
      <c r="G881" s="3"/>
    </row>
    <row r="882" spans="1:7" x14ac:dyDescent="0.2">
      <c r="A882" s="3"/>
      <c r="B882" s="4"/>
      <c r="C882" s="4"/>
      <c r="D882" s="3"/>
      <c r="E882" s="3"/>
      <c r="F882" s="3"/>
      <c r="G882" s="3"/>
    </row>
    <row r="883" spans="1:7" x14ac:dyDescent="0.2">
      <c r="A883" s="3"/>
      <c r="B883" s="4"/>
      <c r="C883" s="4"/>
      <c r="D883" s="3"/>
      <c r="E883" s="3"/>
      <c r="F883" s="3"/>
      <c r="G883" s="3"/>
    </row>
    <row r="884" spans="1:7" x14ac:dyDescent="0.2">
      <c r="A884" s="3"/>
      <c r="B884" s="4"/>
      <c r="C884" s="4"/>
      <c r="D884" s="3"/>
      <c r="E884" s="3"/>
      <c r="F884" s="3"/>
      <c r="G884" s="3"/>
    </row>
    <row r="885" spans="1:7" x14ac:dyDescent="0.2">
      <c r="A885" s="3"/>
      <c r="B885" s="4"/>
      <c r="C885" s="4"/>
      <c r="D885" s="3"/>
      <c r="E885" s="3"/>
      <c r="F885" s="3"/>
      <c r="G885" s="3"/>
    </row>
    <row r="886" spans="1:7" x14ac:dyDescent="0.2">
      <c r="A886" s="3"/>
      <c r="B886" s="4"/>
      <c r="C886" s="4"/>
      <c r="D886" s="3"/>
      <c r="E886" s="3"/>
      <c r="F886" s="3"/>
      <c r="G886" s="3"/>
    </row>
    <row r="887" spans="1:7" x14ac:dyDescent="0.2">
      <c r="A887" s="3"/>
      <c r="B887" s="4"/>
      <c r="C887" s="4"/>
      <c r="D887" s="3"/>
      <c r="E887" s="3"/>
      <c r="F887" s="3"/>
      <c r="G887" s="3"/>
    </row>
    <row r="888" spans="1:7" x14ac:dyDescent="0.2">
      <c r="A888" s="3"/>
      <c r="B888" s="4"/>
      <c r="C888" s="4"/>
      <c r="D888" s="3"/>
      <c r="E888" s="3"/>
      <c r="F888" s="3"/>
      <c r="G888" s="3"/>
    </row>
    <row r="889" spans="1:7" x14ac:dyDescent="0.2">
      <c r="A889" s="3"/>
      <c r="B889" s="4"/>
      <c r="C889" s="4"/>
      <c r="D889" s="3"/>
      <c r="E889" s="3"/>
      <c r="F889" s="3"/>
      <c r="G889" s="3"/>
    </row>
    <row r="890" spans="1:7" x14ac:dyDescent="0.2">
      <c r="A890" s="3"/>
      <c r="B890" s="4"/>
      <c r="C890" s="4"/>
      <c r="D890" s="3"/>
      <c r="E890" s="3"/>
      <c r="F890" s="3"/>
      <c r="G890" s="3"/>
    </row>
    <row r="891" spans="1:7" x14ac:dyDescent="0.2">
      <c r="A891" s="3"/>
      <c r="B891" s="4"/>
      <c r="C891" s="4"/>
      <c r="D891" s="3"/>
      <c r="E891" s="3"/>
      <c r="F891" s="3"/>
      <c r="G891" s="3"/>
    </row>
    <row r="892" spans="1:7" x14ac:dyDescent="0.2">
      <c r="A892" s="3"/>
      <c r="B892" s="4"/>
      <c r="C892" s="4"/>
      <c r="D892" s="3"/>
      <c r="E892" s="3"/>
      <c r="F892" s="3"/>
      <c r="G892" s="3"/>
    </row>
    <row r="893" spans="1:7" x14ac:dyDescent="0.2">
      <c r="A893" s="3"/>
      <c r="B893" s="4"/>
      <c r="C893" s="4"/>
      <c r="D893" s="3"/>
      <c r="E893" s="3"/>
      <c r="F893" s="3"/>
      <c r="G893" s="3"/>
    </row>
    <row r="894" spans="1:7" x14ac:dyDescent="0.2">
      <c r="A894" s="3"/>
      <c r="B894" s="4"/>
      <c r="C894" s="4"/>
      <c r="D894" s="3"/>
      <c r="E894" s="3"/>
      <c r="F894" s="3"/>
      <c r="G894" s="3"/>
    </row>
    <row r="895" spans="1:7" x14ac:dyDescent="0.2">
      <c r="A895" s="3"/>
      <c r="B895" s="4"/>
      <c r="C895" s="4"/>
      <c r="D895" s="3"/>
      <c r="E895" s="3"/>
      <c r="F895" s="3"/>
      <c r="G895" s="3"/>
    </row>
    <row r="896" spans="1:7" x14ac:dyDescent="0.2">
      <c r="A896" s="3"/>
      <c r="B896" s="4"/>
      <c r="C896" s="4"/>
      <c r="D896" s="3"/>
      <c r="E896" s="3"/>
      <c r="F896" s="3"/>
      <c r="G896" s="3"/>
    </row>
    <row r="897" spans="1:7" x14ac:dyDescent="0.2">
      <c r="A897" s="3"/>
      <c r="B897" s="4"/>
      <c r="C897" s="4"/>
      <c r="D897" s="3"/>
      <c r="E897" s="3"/>
      <c r="F897" s="3"/>
      <c r="G897" s="3"/>
    </row>
    <row r="898" spans="1:7" x14ac:dyDescent="0.2">
      <c r="A898" s="3"/>
      <c r="B898" s="4"/>
      <c r="C898" s="4"/>
      <c r="D898" s="3"/>
      <c r="E898" s="3"/>
      <c r="F898" s="3"/>
      <c r="G898" s="3"/>
    </row>
    <row r="899" spans="1:7" x14ac:dyDescent="0.2">
      <c r="A899" s="3"/>
      <c r="B899" s="4"/>
      <c r="C899" s="4"/>
      <c r="D899" s="3"/>
      <c r="E899" s="3"/>
      <c r="F899" s="3"/>
      <c r="G899" s="3"/>
    </row>
    <row r="900" spans="1:7" x14ac:dyDescent="0.2">
      <c r="A900" s="3"/>
      <c r="B900" s="4"/>
      <c r="C900" s="4"/>
      <c r="D900" s="3"/>
      <c r="E900" s="3"/>
      <c r="F900" s="3"/>
      <c r="G900" s="3"/>
    </row>
    <row r="901" spans="1:7" x14ac:dyDescent="0.2">
      <c r="A901" s="3"/>
      <c r="B901" s="4"/>
      <c r="C901" s="4"/>
      <c r="D901" s="3"/>
      <c r="E901" s="3"/>
      <c r="F901" s="3"/>
      <c r="G901" s="3"/>
    </row>
    <row r="902" spans="1:7" x14ac:dyDescent="0.2">
      <c r="A902" s="3"/>
      <c r="B902" s="4"/>
      <c r="C902" s="4"/>
      <c r="D902" s="3"/>
      <c r="E902" s="3"/>
      <c r="F902" s="3"/>
      <c r="G902" s="3"/>
    </row>
    <row r="903" spans="1:7" x14ac:dyDescent="0.2">
      <c r="A903" s="3"/>
      <c r="B903" s="4"/>
      <c r="C903" s="4"/>
      <c r="D903" s="3"/>
      <c r="E903" s="3"/>
      <c r="F903" s="3"/>
      <c r="G903" s="3"/>
    </row>
    <row r="904" spans="1:7" x14ac:dyDescent="0.2">
      <c r="A904" s="3"/>
      <c r="B904" s="4"/>
      <c r="C904" s="4"/>
      <c r="D904" s="3"/>
      <c r="E904" s="3"/>
      <c r="F904" s="3"/>
      <c r="G904" s="3"/>
    </row>
    <row r="905" spans="1:7" x14ac:dyDescent="0.2">
      <c r="A905" s="3"/>
      <c r="B905" s="4"/>
      <c r="C905" s="4"/>
      <c r="D905" s="3"/>
      <c r="E905" s="3"/>
      <c r="F905" s="3"/>
      <c r="G905" s="3"/>
    </row>
    <row r="906" spans="1:7" x14ac:dyDescent="0.2">
      <c r="A906" s="3"/>
      <c r="B906" s="4"/>
      <c r="C906" s="4"/>
      <c r="D906" s="3"/>
      <c r="E906" s="3"/>
      <c r="F906" s="3"/>
      <c r="G906" s="3"/>
    </row>
    <row r="907" spans="1:7" x14ac:dyDescent="0.2">
      <c r="A907" s="3"/>
      <c r="B907" s="4"/>
      <c r="C907" s="4"/>
      <c r="D907" s="3"/>
      <c r="E907" s="3"/>
      <c r="F907" s="3"/>
      <c r="G907" s="3"/>
    </row>
    <row r="908" spans="1:7" x14ac:dyDescent="0.2">
      <c r="A908" s="3"/>
      <c r="B908" s="4"/>
      <c r="C908" s="4"/>
      <c r="D908" s="3"/>
      <c r="E908" s="3"/>
      <c r="F908" s="3"/>
      <c r="G908" s="3"/>
    </row>
    <row r="909" spans="1:7" x14ac:dyDescent="0.2">
      <c r="A909" s="3"/>
      <c r="B909" s="4"/>
      <c r="C909" s="4"/>
      <c r="D909" s="3"/>
      <c r="E909" s="3"/>
      <c r="F909" s="3"/>
      <c r="G909" s="3"/>
    </row>
    <row r="910" spans="1:7" x14ac:dyDescent="0.2">
      <c r="A910" s="3"/>
      <c r="B910" s="4"/>
      <c r="C910" s="4"/>
      <c r="D910" s="3"/>
      <c r="E910" s="3"/>
      <c r="F910" s="3"/>
      <c r="G910" s="3"/>
    </row>
    <row r="911" spans="1:7" x14ac:dyDescent="0.2">
      <c r="A911" s="3"/>
      <c r="B911" s="4"/>
      <c r="C911" s="4"/>
      <c r="D911" s="3"/>
      <c r="E911" s="3"/>
      <c r="F911" s="3"/>
      <c r="G911" s="3"/>
    </row>
    <row r="912" spans="1:7" x14ac:dyDescent="0.2">
      <c r="A912" s="3"/>
      <c r="B912" s="4"/>
      <c r="C912" s="4"/>
      <c r="D912" s="3"/>
      <c r="E912" s="3"/>
      <c r="F912" s="3"/>
      <c r="G912" s="3"/>
    </row>
    <row r="913" spans="1:7" x14ac:dyDescent="0.2">
      <c r="A913" s="3"/>
      <c r="B913" s="4"/>
      <c r="C913" s="4"/>
      <c r="D913" s="3"/>
      <c r="E913" s="3"/>
      <c r="F913" s="3"/>
      <c r="G913" s="3"/>
    </row>
    <row r="914" spans="1:7" x14ac:dyDescent="0.2">
      <c r="A914" s="3"/>
      <c r="B914" s="4"/>
      <c r="C914" s="4"/>
      <c r="D914" s="3"/>
      <c r="E914" s="3"/>
      <c r="F914" s="3"/>
      <c r="G914" s="3"/>
    </row>
    <row r="915" spans="1:7" x14ac:dyDescent="0.2">
      <c r="A915" s="3"/>
      <c r="B915" s="4"/>
      <c r="C915" s="4"/>
      <c r="D915" s="3"/>
      <c r="E915" s="3"/>
      <c r="F915" s="3"/>
      <c r="G915" s="3"/>
    </row>
    <row r="916" spans="1:7" x14ac:dyDescent="0.2">
      <c r="A916" s="3"/>
      <c r="B916" s="4"/>
      <c r="C916" s="4"/>
      <c r="D916" s="3"/>
      <c r="E916" s="3"/>
      <c r="F916" s="3"/>
      <c r="G916" s="3"/>
    </row>
    <row r="917" spans="1:7" x14ac:dyDescent="0.2">
      <c r="A917" s="3"/>
      <c r="B917" s="4"/>
      <c r="C917" s="4"/>
      <c r="D917" s="3"/>
      <c r="E917" s="3"/>
      <c r="F917" s="3"/>
      <c r="G917" s="3"/>
    </row>
    <row r="918" spans="1:7" x14ac:dyDescent="0.2">
      <c r="A918" s="3"/>
      <c r="B918" s="4"/>
      <c r="C918" s="4"/>
      <c r="D918" s="3"/>
      <c r="E918" s="3"/>
      <c r="F918" s="3"/>
      <c r="G918" s="3"/>
    </row>
    <row r="919" spans="1:7" x14ac:dyDescent="0.2">
      <c r="A919" s="3"/>
      <c r="B919" s="4"/>
      <c r="C919" s="4"/>
      <c r="D919" s="3"/>
      <c r="E919" s="3"/>
      <c r="F919" s="3"/>
      <c r="G919" s="3"/>
    </row>
    <row r="920" spans="1:7" x14ac:dyDescent="0.2">
      <c r="A920" s="3"/>
      <c r="B920" s="4"/>
      <c r="C920" s="4"/>
      <c r="D920" s="3"/>
      <c r="E920" s="3"/>
      <c r="F920" s="3"/>
      <c r="G920" s="3"/>
    </row>
    <row r="921" spans="1:7" x14ac:dyDescent="0.2">
      <c r="A921" s="3"/>
      <c r="B921" s="4"/>
      <c r="C921" s="4"/>
      <c r="D921" s="3"/>
      <c r="E921" s="3"/>
      <c r="F921" s="3"/>
      <c r="G921" s="3"/>
    </row>
    <row r="922" spans="1:7" x14ac:dyDescent="0.2">
      <c r="A922" s="3"/>
      <c r="B922" s="4"/>
      <c r="C922" s="4"/>
      <c r="D922" s="3"/>
      <c r="E922" s="3"/>
      <c r="F922" s="3"/>
      <c r="G922" s="3"/>
    </row>
    <row r="923" spans="1:7" x14ac:dyDescent="0.2">
      <c r="A923" s="3"/>
      <c r="B923" s="4"/>
      <c r="C923" s="4"/>
      <c r="D923" s="3"/>
      <c r="E923" s="3"/>
      <c r="F923" s="3"/>
      <c r="G923" s="3"/>
    </row>
    <row r="924" spans="1:7" x14ac:dyDescent="0.2">
      <c r="A924" s="3"/>
      <c r="B924" s="4"/>
      <c r="C924" s="4"/>
      <c r="D924" s="3"/>
      <c r="E924" s="3"/>
      <c r="F924" s="3"/>
      <c r="G924" s="3"/>
    </row>
    <row r="925" spans="1:7" x14ac:dyDescent="0.2">
      <c r="A925" s="3"/>
      <c r="B925" s="4"/>
      <c r="C925" s="4"/>
      <c r="D925" s="3"/>
      <c r="E925" s="3"/>
      <c r="F925" s="3"/>
      <c r="G925" s="3"/>
    </row>
    <row r="926" spans="1:7" x14ac:dyDescent="0.2">
      <c r="A926" s="3"/>
      <c r="B926" s="4"/>
      <c r="C926" s="4"/>
      <c r="D926" s="3"/>
      <c r="E926" s="3"/>
      <c r="F926" s="3"/>
      <c r="G926" s="3"/>
    </row>
    <row r="927" spans="1:7" x14ac:dyDescent="0.2">
      <c r="A927" s="3"/>
      <c r="B927" s="4"/>
      <c r="C927" s="4"/>
      <c r="D927" s="3"/>
      <c r="E927" s="3"/>
      <c r="F927" s="3"/>
      <c r="G927" s="3"/>
    </row>
    <row r="928" spans="1:7" x14ac:dyDescent="0.2">
      <c r="A928" s="3"/>
      <c r="B928" s="4"/>
      <c r="C928" s="4"/>
      <c r="D928" s="3"/>
      <c r="E928" s="3"/>
      <c r="F928" s="3"/>
      <c r="G928" s="3"/>
    </row>
    <row r="929" spans="1:7" x14ac:dyDescent="0.2">
      <c r="A929" s="3"/>
      <c r="B929" s="4"/>
      <c r="C929" s="4"/>
      <c r="D929" s="3"/>
      <c r="E929" s="3"/>
      <c r="F929" s="3"/>
      <c r="G929" s="3"/>
    </row>
    <row r="930" spans="1:7" x14ac:dyDescent="0.2">
      <c r="A930" s="3"/>
      <c r="B930" s="4"/>
      <c r="C930" s="4"/>
      <c r="D930" s="3"/>
      <c r="E930" s="3"/>
      <c r="F930" s="3"/>
      <c r="G930" s="3"/>
    </row>
    <row r="931" spans="1:7" x14ac:dyDescent="0.2">
      <c r="A931" s="3"/>
      <c r="B931" s="4"/>
      <c r="C931" s="4"/>
      <c r="D931" s="3"/>
      <c r="E931" s="3"/>
      <c r="F931" s="3"/>
      <c r="G931" s="3"/>
    </row>
    <row r="932" spans="1:7" x14ac:dyDescent="0.2">
      <c r="A932" s="3"/>
      <c r="B932" s="4"/>
      <c r="C932" s="4"/>
      <c r="D932" s="3"/>
      <c r="E932" s="3"/>
      <c r="F932" s="3"/>
      <c r="G932" s="3"/>
    </row>
    <row r="933" spans="1:7" x14ac:dyDescent="0.2">
      <c r="A933" s="3"/>
      <c r="B933" s="4"/>
      <c r="C933" s="4"/>
      <c r="D933" s="3"/>
      <c r="E933" s="3"/>
      <c r="F933" s="3"/>
      <c r="G933" s="3"/>
    </row>
    <row r="934" spans="1:7" x14ac:dyDescent="0.2">
      <c r="A934" s="3"/>
      <c r="B934" s="4"/>
      <c r="C934" s="4"/>
      <c r="D934" s="3"/>
      <c r="E934" s="3"/>
      <c r="F934" s="3"/>
      <c r="G934" s="3"/>
    </row>
    <row r="935" spans="1:7" x14ac:dyDescent="0.2">
      <c r="A935" s="3"/>
      <c r="B935" s="4"/>
      <c r="C935" s="4"/>
      <c r="D935" s="3"/>
      <c r="E935" s="3"/>
      <c r="F935" s="3"/>
      <c r="G935" s="3"/>
    </row>
    <row r="936" spans="1:7" x14ac:dyDescent="0.2">
      <c r="A936" s="3"/>
      <c r="B936" s="4"/>
      <c r="C936" s="4"/>
      <c r="D936" s="3"/>
      <c r="E936" s="3"/>
      <c r="F936" s="3"/>
      <c r="G936" s="3"/>
    </row>
    <row r="937" spans="1:7" x14ac:dyDescent="0.2">
      <c r="A937" s="3"/>
      <c r="B937" s="4"/>
      <c r="C937" s="4"/>
      <c r="D937" s="3"/>
      <c r="E937" s="3"/>
      <c r="F937" s="3"/>
      <c r="G937" s="3"/>
    </row>
    <row r="938" spans="1:7" x14ac:dyDescent="0.2">
      <c r="A938" s="3"/>
      <c r="B938" s="4"/>
      <c r="C938" s="4"/>
      <c r="D938" s="3"/>
      <c r="E938" s="3"/>
      <c r="F938" s="3"/>
      <c r="G938" s="3"/>
    </row>
    <row r="939" spans="1:7" x14ac:dyDescent="0.2">
      <c r="A939" s="3"/>
      <c r="B939" s="4"/>
      <c r="C939" s="4"/>
      <c r="D939" s="3"/>
      <c r="E939" s="3"/>
      <c r="F939" s="3"/>
      <c r="G939" s="3"/>
    </row>
    <row r="940" spans="1:7" x14ac:dyDescent="0.2">
      <c r="A940" s="3"/>
      <c r="B940" s="4"/>
      <c r="C940" s="4"/>
      <c r="D940" s="3"/>
      <c r="E940" s="3"/>
      <c r="F940" s="3"/>
      <c r="G940" s="3"/>
    </row>
    <row r="941" spans="1:7" x14ac:dyDescent="0.2">
      <c r="A941" s="3"/>
      <c r="B941" s="4"/>
      <c r="C941" s="4"/>
      <c r="D941" s="3"/>
      <c r="E941" s="3"/>
      <c r="F941" s="3"/>
      <c r="G941" s="3"/>
    </row>
    <row r="942" spans="1:7" x14ac:dyDescent="0.2">
      <c r="A942" s="3"/>
      <c r="B942" s="4"/>
      <c r="C942" s="4"/>
      <c r="D942" s="3"/>
      <c r="E942" s="3"/>
      <c r="F942" s="3"/>
      <c r="G942" s="3"/>
    </row>
    <row r="943" spans="1:7" x14ac:dyDescent="0.2">
      <c r="A943" s="3"/>
      <c r="B943" s="4"/>
      <c r="C943" s="4"/>
      <c r="D943" s="3"/>
      <c r="E943" s="3"/>
      <c r="F943" s="3"/>
      <c r="G943" s="3"/>
    </row>
    <row r="944" spans="1:7" x14ac:dyDescent="0.2">
      <c r="A944" s="3"/>
      <c r="B944" s="4"/>
      <c r="C944" s="4"/>
      <c r="D944" s="3"/>
      <c r="E944" s="3"/>
      <c r="F944" s="3"/>
      <c r="G944" s="3"/>
    </row>
    <row r="945" spans="1:7" x14ac:dyDescent="0.2">
      <c r="A945" s="3"/>
      <c r="B945" s="4"/>
      <c r="C945" s="4"/>
      <c r="D945" s="3"/>
      <c r="E945" s="3"/>
      <c r="F945" s="3"/>
      <c r="G945" s="3"/>
    </row>
    <row r="946" spans="1:7" x14ac:dyDescent="0.2">
      <c r="A946" s="3"/>
      <c r="B946" s="4"/>
      <c r="C946" s="4"/>
      <c r="D946" s="3"/>
      <c r="E946" s="3"/>
      <c r="F946" s="3"/>
      <c r="G946" s="3"/>
    </row>
    <row r="947" spans="1:7" x14ac:dyDescent="0.2">
      <c r="A947" s="3"/>
      <c r="B947" s="4"/>
      <c r="C947" s="4"/>
      <c r="D947" s="3"/>
      <c r="E947" s="3"/>
      <c r="F947" s="3"/>
      <c r="G947" s="3"/>
    </row>
    <row r="948" spans="1:7" x14ac:dyDescent="0.2">
      <c r="A948" s="3"/>
      <c r="B948" s="4"/>
      <c r="C948" s="4"/>
      <c r="D948" s="3"/>
      <c r="E948" s="3"/>
      <c r="F948" s="3"/>
      <c r="G948" s="3"/>
    </row>
    <row r="949" spans="1:7" x14ac:dyDescent="0.2">
      <c r="A949" s="3"/>
      <c r="B949" s="4"/>
      <c r="C949" s="4"/>
      <c r="D949" s="3"/>
      <c r="E949" s="3"/>
      <c r="F949" s="3"/>
      <c r="G949" s="3"/>
    </row>
    <row r="950" spans="1:7" x14ac:dyDescent="0.2">
      <c r="A950" s="3"/>
      <c r="B950" s="4"/>
      <c r="C950" s="4"/>
      <c r="D950" s="3"/>
      <c r="E950" s="3"/>
      <c r="F950" s="3"/>
      <c r="G950" s="3"/>
    </row>
    <row r="951" spans="1:7" x14ac:dyDescent="0.2">
      <c r="A951" s="3"/>
      <c r="B951" s="4"/>
      <c r="C951" s="4"/>
      <c r="D951" s="3"/>
      <c r="E951" s="3"/>
      <c r="F951" s="3"/>
      <c r="G951" s="3"/>
    </row>
    <row r="952" spans="1:7" x14ac:dyDescent="0.2">
      <c r="A952" s="3"/>
      <c r="B952" s="4"/>
      <c r="C952" s="4"/>
      <c r="D952" s="3"/>
      <c r="E952" s="3"/>
      <c r="F952" s="3"/>
      <c r="G952" s="3"/>
    </row>
    <row r="953" spans="1:7" x14ac:dyDescent="0.2">
      <c r="A953" s="3"/>
      <c r="B953" s="4"/>
      <c r="C953" s="4"/>
      <c r="D953" s="3"/>
      <c r="E953" s="3"/>
      <c r="F953" s="3"/>
      <c r="G953" s="3"/>
    </row>
    <row r="954" spans="1:7" x14ac:dyDescent="0.2">
      <c r="A954" s="3"/>
      <c r="B954" s="4"/>
      <c r="C954" s="4"/>
      <c r="D954" s="3"/>
      <c r="E954" s="3"/>
      <c r="F954" s="3"/>
      <c r="G954" s="3"/>
    </row>
    <row r="955" spans="1:7" x14ac:dyDescent="0.2">
      <c r="A955" s="3"/>
      <c r="B955" s="4"/>
      <c r="C955" s="4"/>
      <c r="D955" s="3"/>
      <c r="E955" s="3"/>
      <c r="F955" s="3"/>
      <c r="G955" s="3"/>
    </row>
    <row r="956" spans="1:7" x14ac:dyDescent="0.2">
      <c r="A956" s="3"/>
      <c r="B956" s="4"/>
      <c r="C956" s="4"/>
      <c r="D956" s="3"/>
      <c r="E956" s="3"/>
      <c r="F956" s="3"/>
      <c r="G956" s="3"/>
    </row>
    <row r="957" spans="1:7" x14ac:dyDescent="0.2">
      <c r="A957" s="3"/>
      <c r="B957" s="4"/>
      <c r="C957" s="4"/>
      <c r="D957" s="3"/>
      <c r="E957" s="3"/>
      <c r="F957" s="3"/>
      <c r="G957" s="3"/>
    </row>
    <row r="958" spans="1:7" x14ac:dyDescent="0.2">
      <c r="A958" s="3"/>
      <c r="B958" s="4"/>
      <c r="C958" s="4"/>
      <c r="D958" s="3"/>
      <c r="E958" s="3"/>
      <c r="F958" s="3"/>
      <c r="G958" s="3"/>
    </row>
    <row r="959" spans="1:7" x14ac:dyDescent="0.2">
      <c r="A959" s="3"/>
      <c r="B959" s="4"/>
      <c r="C959" s="4"/>
      <c r="D959" s="3"/>
      <c r="E959" s="3"/>
      <c r="F959" s="3"/>
      <c r="G959" s="3"/>
    </row>
    <row r="960" spans="1:7" x14ac:dyDescent="0.2">
      <c r="A960" s="3"/>
      <c r="B960" s="4"/>
      <c r="C960" s="4"/>
      <c r="D960" s="3"/>
      <c r="E960" s="3"/>
      <c r="F960" s="3"/>
      <c r="G960" s="3"/>
    </row>
    <row r="961" spans="1:7" x14ac:dyDescent="0.2">
      <c r="A961" s="3"/>
      <c r="B961" s="4"/>
      <c r="C961" s="4"/>
      <c r="D961" s="3"/>
      <c r="E961" s="3"/>
      <c r="F961" s="3"/>
      <c r="G961" s="3"/>
    </row>
    <row r="962" spans="1:7" x14ac:dyDescent="0.2">
      <c r="A962" s="3"/>
      <c r="B962" s="4"/>
      <c r="C962" s="4"/>
      <c r="D962" s="3"/>
      <c r="E962" s="3"/>
      <c r="F962" s="3"/>
      <c r="G962" s="3"/>
    </row>
    <row r="963" spans="1:7" x14ac:dyDescent="0.2">
      <c r="A963" s="3"/>
      <c r="B963" s="4"/>
      <c r="C963" s="4"/>
      <c r="D963" s="3"/>
      <c r="E963" s="3"/>
      <c r="F963" s="3"/>
      <c r="G963" s="3"/>
    </row>
    <row r="964" spans="1:7" x14ac:dyDescent="0.2">
      <c r="A964" s="3"/>
      <c r="B964" s="4"/>
      <c r="C964" s="4"/>
      <c r="D964" s="3"/>
      <c r="E964" s="3"/>
      <c r="F964" s="3"/>
      <c r="G964" s="3"/>
    </row>
    <row r="965" spans="1:7" x14ac:dyDescent="0.2">
      <c r="A965" s="3"/>
      <c r="B965" s="4"/>
      <c r="C965" s="4"/>
      <c r="D965" s="3"/>
      <c r="E965" s="3"/>
      <c r="F965" s="3"/>
      <c r="G965" s="3"/>
    </row>
    <row r="966" spans="1:7" x14ac:dyDescent="0.2">
      <c r="A966" s="3"/>
      <c r="B966" s="4"/>
      <c r="C966" s="4"/>
      <c r="D966" s="3"/>
      <c r="E966" s="3"/>
      <c r="F966" s="3"/>
      <c r="G966" s="3"/>
    </row>
    <row r="967" spans="1:7" x14ac:dyDescent="0.2">
      <c r="A967" s="3"/>
      <c r="B967" s="4"/>
      <c r="C967" s="4"/>
      <c r="D967" s="3"/>
      <c r="E967" s="3"/>
      <c r="F967" s="3"/>
      <c r="G967" s="3"/>
    </row>
    <row r="968" spans="1:7" x14ac:dyDescent="0.2">
      <c r="A968" s="3"/>
      <c r="B968" s="4"/>
      <c r="C968" s="4"/>
      <c r="D968" s="3"/>
      <c r="E968" s="3"/>
      <c r="F968" s="3"/>
      <c r="G968" s="3"/>
    </row>
    <row r="969" spans="1:7" x14ac:dyDescent="0.2">
      <c r="A969" s="3"/>
      <c r="B969" s="4"/>
      <c r="C969" s="4"/>
      <c r="D969" s="3"/>
      <c r="E969" s="3"/>
      <c r="F969" s="3"/>
      <c r="G969" s="3"/>
    </row>
    <row r="970" spans="1:7" x14ac:dyDescent="0.2">
      <c r="A970" s="3"/>
      <c r="B970" s="4"/>
      <c r="C970" s="4"/>
      <c r="D970" s="3"/>
      <c r="E970" s="3"/>
      <c r="F970" s="3"/>
      <c r="G970" s="3"/>
    </row>
    <row r="971" spans="1:7" x14ac:dyDescent="0.2">
      <c r="A971" s="3"/>
      <c r="B971" s="4"/>
      <c r="C971" s="4"/>
      <c r="D971" s="3"/>
      <c r="E971" s="3"/>
      <c r="F971" s="3"/>
      <c r="G971" s="3"/>
    </row>
    <row r="972" spans="1:7" x14ac:dyDescent="0.2">
      <c r="A972" s="3"/>
      <c r="B972" s="4"/>
      <c r="C972" s="4"/>
      <c r="D972" s="3"/>
      <c r="E972" s="3"/>
      <c r="F972" s="3"/>
      <c r="G972" s="3"/>
    </row>
    <row r="973" spans="1:7" x14ac:dyDescent="0.2">
      <c r="A973" s="3"/>
      <c r="B973" s="4"/>
      <c r="C973" s="4"/>
      <c r="D973" s="3"/>
      <c r="E973" s="3"/>
      <c r="F973" s="3"/>
      <c r="G973" s="3"/>
    </row>
    <row r="974" spans="1:7" x14ac:dyDescent="0.2">
      <c r="A974" s="3"/>
      <c r="B974" s="4"/>
      <c r="C974" s="4"/>
      <c r="D974" s="3"/>
      <c r="E974" s="3"/>
      <c r="F974" s="3"/>
      <c r="G974" s="3"/>
    </row>
    <row r="975" spans="1:7" x14ac:dyDescent="0.2">
      <c r="A975" s="3"/>
      <c r="B975" s="4"/>
      <c r="C975" s="4"/>
      <c r="D975" s="3"/>
      <c r="E975" s="3"/>
      <c r="F975" s="3"/>
      <c r="G975" s="3"/>
    </row>
    <row r="976" spans="1:7" x14ac:dyDescent="0.2">
      <c r="A976" s="3"/>
      <c r="B976" s="4"/>
      <c r="C976" s="4"/>
      <c r="D976" s="3"/>
      <c r="E976" s="3"/>
      <c r="F976" s="3"/>
      <c r="G976" s="3"/>
    </row>
    <row r="977" spans="1:7" x14ac:dyDescent="0.2">
      <c r="A977" s="3"/>
      <c r="B977" s="4"/>
      <c r="C977" s="4"/>
      <c r="D977" s="3"/>
      <c r="E977" s="3"/>
      <c r="F977" s="3"/>
      <c r="G977" s="3"/>
    </row>
    <row r="978" spans="1:7" x14ac:dyDescent="0.2">
      <c r="A978" s="3"/>
      <c r="B978" s="4"/>
      <c r="C978" s="4"/>
      <c r="D978" s="3"/>
      <c r="E978" s="3"/>
      <c r="F978" s="3"/>
      <c r="G978" s="3"/>
    </row>
    <row r="979" spans="1:7" x14ac:dyDescent="0.2">
      <c r="A979" s="3"/>
      <c r="B979" s="4"/>
      <c r="C979" s="4"/>
      <c r="D979" s="3"/>
      <c r="E979" s="3"/>
      <c r="F979" s="3"/>
      <c r="G979" s="3"/>
    </row>
    <row r="980" spans="1:7" x14ac:dyDescent="0.2">
      <c r="A980" s="3"/>
      <c r="B980" s="4"/>
      <c r="C980" s="4"/>
      <c r="D980" s="3"/>
      <c r="E980" s="3"/>
      <c r="F980" s="3"/>
      <c r="G980" s="3"/>
    </row>
    <row r="981" spans="1:7" x14ac:dyDescent="0.2">
      <c r="A981" s="3"/>
      <c r="B981" s="4"/>
      <c r="C981" s="4"/>
      <c r="D981" s="3"/>
      <c r="E981" s="3"/>
      <c r="F981" s="3"/>
      <c r="G981" s="3"/>
    </row>
    <row r="982" spans="1:7" x14ac:dyDescent="0.2">
      <c r="A982" s="3"/>
      <c r="B982" s="4"/>
      <c r="C982" s="4"/>
      <c r="D982" s="3"/>
      <c r="E982" s="3"/>
      <c r="F982" s="3"/>
      <c r="G982" s="3"/>
    </row>
    <row r="983" spans="1:7" x14ac:dyDescent="0.2">
      <c r="A983" s="3"/>
      <c r="B983" s="4"/>
      <c r="C983" s="4"/>
      <c r="D983" s="3"/>
      <c r="E983" s="3"/>
      <c r="F983" s="3"/>
      <c r="G983" s="3"/>
    </row>
    <row r="984" spans="1:7" x14ac:dyDescent="0.2">
      <c r="A984" s="3"/>
      <c r="B984" s="4"/>
      <c r="C984" s="4"/>
      <c r="D984" s="3"/>
      <c r="E984" s="3"/>
      <c r="F984" s="3"/>
      <c r="G984" s="3"/>
    </row>
    <row r="985" spans="1:7" x14ac:dyDescent="0.2">
      <c r="A985" s="3"/>
      <c r="B985" s="4"/>
      <c r="C985" s="4"/>
      <c r="D985" s="3"/>
      <c r="E985" s="3"/>
      <c r="F985" s="3"/>
      <c r="G985" s="3"/>
    </row>
    <row r="986" spans="1:7" x14ac:dyDescent="0.2">
      <c r="A986" s="3"/>
      <c r="B986" s="4"/>
      <c r="C986" s="4"/>
      <c r="D986" s="3"/>
      <c r="E986" s="3"/>
      <c r="F986" s="3"/>
      <c r="G986" s="3"/>
    </row>
    <row r="987" spans="1:7" x14ac:dyDescent="0.2">
      <c r="A987" s="3"/>
      <c r="B987" s="4"/>
      <c r="C987" s="4"/>
      <c r="D987" s="3"/>
      <c r="E987" s="3"/>
      <c r="F987" s="3"/>
      <c r="G987" s="3"/>
    </row>
    <row r="988" spans="1:7" x14ac:dyDescent="0.2">
      <c r="A988" s="3"/>
      <c r="B988" s="4"/>
      <c r="C988" s="4"/>
      <c r="D988" s="3"/>
      <c r="E988" s="3"/>
      <c r="F988" s="3"/>
      <c r="G988" s="3"/>
    </row>
    <row r="989" spans="1:7" x14ac:dyDescent="0.2">
      <c r="A989" s="3"/>
      <c r="B989" s="4"/>
      <c r="C989" s="4"/>
      <c r="D989" s="3"/>
      <c r="E989" s="3"/>
      <c r="F989" s="3"/>
      <c r="G989" s="3"/>
    </row>
    <row r="990" spans="1:7" x14ac:dyDescent="0.2">
      <c r="A990" s="3"/>
      <c r="B990" s="4"/>
      <c r="C990" s="4"/>
      <c r="D990" s="3"/>
      <c r="E990" s="3"/>
      <c r="F990" s="3"/>
      <c r="G990" s="3"/>
    </row>
    <row r="991" spans="1:7" x14ac:dyDescent="0.2">
      <c r="A991" s="3"/>
      <c r="B991" s="4"/>
      <c r="C991" s="4"/>
      <c r="D991" s="3"/>
      <c r="E991" s="3"/>
      <c r="F991" s="3"/>
      <c r="G991" s="3"/>
    </row>
    <row r="992" spans="1:7" x14ac:dyDescent="0.2">
      <c r="A992" s="3"/>
      <c r="B992" s="4"/>
      <c r="C992" s="4"/>
      <c r="D992" s="3"/>
      <c r="E992" s="3"/>
      <c r="F992" s="3"/>
      <c r="G992" s="3"/>
    </row>
    <row r="993" spans="1:7" x14ac:dyDescent="0.2">
      <c r="A993" s="3"/>
      <c r="B993" s="4"/>
      <c r="C993" s="4"/>
      <c r="D993" s="3"/>
      <c r="E993" s="3"/>
      <c r="F993" s="3"/>
      <c r="G993" s="3"/>
    </row>
    <row r="994" spans="1:7" x14ac:dyDescent="0.2">
      <c r="A994" s="3"/>
      <c r="B994" s="4"/>
      <c r="C994" s="4"/>
      <c r="D994" s="3"/>
      <c r="E994" s="3"/>
      <c r="F994" s="3"/>
      <c r="G994" s="3"/>
    </row>
    <row r="995" spans="1:7" x14ac:dyDescent="0.2">
      <c r="A995" s="3"/>
      <c r="B995" s="4"/>
      <c r="C995" s="4"/>
      <c r="D995" s="3"/>
      <c r="E995" s="3"/>
      <c r="F995" s="3"/>
      <c r="G995" s="3"/>
    </row>
    <row r="996" spans="1:7" x14ac:dyDescent="0.2">
      <c r="A996" s="3"/>
      <c r="B996" s="4"/>
      <c r="C996" s="4"/>
      <c r="D996" s="3"/>
      <c r="E996" s="3"/>
      <c r="F996" s="3"/>
      <c r="G996" s="3"/>
    </row>
    <row r="997" spans="1:7" x14ac:dyDescent="0.2">
      <c r="A997" s="3"/>
      <c r="B997" s="4"/>
      <c r="C997" s="4"/>
      <c r="D997" s="3"/>
      <c r="E997" s="3"/>
      <c r="F997" s="3"/>
      <c r="G997" s="3"/>
    </row>
    <row r="998" spans="1:7" x14ac:dyDescent="0.2">
      <c r="A998" s="3"/>
      <c r="B998" s="4"/>
      <c r="C998" s="4"/>
      <c r="D998" s="3"/>
      <c r="E998" s="3"/>
      <c r="F998" s="3"/>
      <c r="G998" s="3"/>
    </row>
    <row r="999" spans="1:7" x14ac:dyDescent="0.2">
      <c r="A999" s="3"/>
      <c r="B999" s="4"/>
      <c r="C999" s="4"/>
      <c r="D999" s="3"/>
      <c r="E999" s="3"/>
      <c r="F999" s="3"/>
      <c r="G999" s="3"/>
    </row>
    <row r="1000" spans="1:7" x14ac:dyDescent="0.2">
      <c r="A1000" s="3"/>
      <c r="B1000" s="4"/>
      <c r="C1000" s="4"/>
      <c r="D1000" s="3"/>
      <c r="E1000" s="3"/>
      <c r="F1000" s="3"/>
      <c r="G1000" s="3"/>
    </row>
  </sheetData>
  <mergeCells count="3">
    <mergeCell ref="A1:G1"/>
    <mergeCell ref="A2:I3"/>
    <mergeCell ref="E64:G6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6539-EF3F-3844-8C73-D6F8E6D9926E}">
  <dimension ref="A2:T254"/>
  <sheetViews>
    <sheetView topLeftCell="A7" workbookViewId="0">
      <selection activeCell="H225" sqref="H225"/>
    </sheetView>
  </sheetViews>
  <sheetFormatPr baseColWidth="10" defaultColWidth="10.83203125" defaultRowHeight="14" x14ac:dyDescent="0.2"/>
  <cols>
    <col min="1" max="1" width="7.83203125" style="64" customWidth="1"/>
    <col min="2" max="2" width="6.1640625" style="64" bestFit="1" customWidth="1"/>
    <col min="3" max="3" width="6.1640625" style="64" hidden="1" customWidth="1"/>
    <col min="4" max="4" width="5" style="64" bestFit="1" customWidth="1"/>
    <col min="5" max="5" width="8.5" style="64" hidden="1" customWidth="1"/>
    <col min="6" max="6" width="5.1640625" style="64" bestFit="1" customWidth="1"/>
    <col min="7" max="7" width="4" style="64" bestFit="1" customWidth="1"/>
    <col min="8" max="8" width="34.83203125" style="64" bestFit="1" customWidth="1"/>
    <col min="9" max="9" width="12.5" style="64" customWidth="1"/>
    <col min="10" max="10" width="12.5" style="64" hidden="1" customWidth="1"/>
    <col min="11" max="11" width="12.5" style="65" customWidth="1"/>
    <col min="12" max="12" width="4.5" style="64" customWidth="1"/>
    <col min="13" max="14" width="0" style="66" hidden="1" customWidth="1"/>
    <col min="15" max="15" width="0" style="67" hidden="1" customWidth="1"/>
    <col min="16" max="16" width="0" style="68" hidden="1" customWidth="1"/>
    <col min="17" max="17" width="7.33203125" style="64" hidden="1" customWidth="1"/>
    <col min="18" max="18" width="0" style="64" hidden="1" customWidth="1"/>
    <col min="19" max="16384" width="10.83203125" style="64"/>
  </cols>
  <sheetData>
    <row r="2" spans="1:20" s="30" customFormat="1" ht="24" hidden="1" x14ac:dyDescent="0.2">
      <c r="A2" s="23">
        <f>SUM(B2:F2)</f>
        <v>210</v>
      </c>
      <c r="B2" s="24">
        <v>61</v>
      </c>
      <c r="C2" s="24"/>
      <c r="D2" s="24">
        <v>5</v>
      </c>
      <c r="E2" s="24"/>
      <c r="F2" s="24">
        <v>144</v>
      </c>
      <c r="G2" s="25" t="s">
        <v>66</v>
      </c>
      <c r="H2" s="25"/>
      <c r="I2" s="25"/>
      <c r="J2" s="25"/>
      <c r="K2" s="25"/>
      <c r="L2" s="26"/>
      <c r="M2" s="27"/>
      <c r="N2" s="27"/>
      <c r="O2" s="28">
        <v>1.2E-2</v>
      </c>
      <c r="P2" s="29"/>
    </row>
    <row r="3" spans="1:20" s="30" customFormat="1" ht="24" hidden="1" x14ac:dyDescent="0.2">
      <c r="A3" s="31" t="s">
        <v>67</v>
      </c>
      <c r="B3" s="32" t="s">
        <v>68</v>
      </c>
      <c r="C3" s="32" t="s">
        <v>69</v>
      </c>
      <c r="D3" s="32" t="s">
        <v>70</v>
      </c>
      <c r="E3" s="32" t="s">
        <v>71</v>
      </c>
      <c r="F3" s="32" t="s">
        <v>72</v>
      </c>
      <c r="G3" s="33" t="s">
        <v>73</v>
      </c>
      <c r="H3" s="34"/>
      <c r="I3" s="34"/>
      <c r="J3" s="34"/>
      <c r="K3" s="35"/>
      <c r="L3" s="26"/>
      <c r="M3" s="27"/>
      <c r="N3" s="27"/>
      <c r="O3" s="28"/>
      <c r="P3" s="29"/>
    </row>
    <row r="4" spans="1:20" s="30" customFormat="1" ht="13" hidden="1" x14ac:dyDescent="0.2">
      <c r="A4" s="36"/>
      <c r="B4" s="36"/>
      <c r="C4" s="36"/>
      <c r="D4" s="36"/>
      <c r="E4" s="36"/>
      <c r="F4" s="36"/>
      <c r="G4" s="37"/>
      <c r="H4" s="37"/>
      <c r="I4" s="38"/>
      <c r="J4" s="38"/>
      <c r="K4" s="39"/>
      <c r="L4" s="40"/>
      <c r="M4" s="27"/>
      <c r="N4" s="27"/>
      <c r="O4" s="28"/>
      <c r="P4" s="29"/>
    </row>
    <row r="5" spans="1:20" s="30" customFormat="1" ht="13" x14ac:dyDescent="0.2">
      <c r="A5" s="41"/>
      <c r="B5" s="41"/>
      <c r="C5" s="41"/>
      <c r="D5" s="41"/>
      <c r="E5" s="41"/>
      <c r="F5" s="41"/>
      <c r="G5" s="42" t="s">
        <v>74</v>
      </c>
      <c r="H5" s="42" t="s">
        <v>75</v>
      </c>
      <c r="I5" s="43"/>
      <c r="J5" s="44"/>
      <c r="K5" s="45"/>
      <c r="L5" s="26"/>
      <c r="M5" s="27"/>
      <c r="N5" s="27"/>
      <c r="O5" s="28"/>
      <c r="P5" s="29"/>
    </row>
    <row r="6" spans="1:20" s="30" customFormat="1" x14ac:dyDescent="0.2">
      <c r="A6" s="41"/>
      <c r="B6" s="41"/>
      <c r="C6" s="41"/>
      <c r="D6" s="41"/>
      <c r="E6" s="41"/>
      <c r="F6" s="41"/>
      <c r="G6" s="46"/>
      <c r="H6" s="46" t="s">
        <v>76</v>
      </c>
      <c r="I6" s="47" t="s">
        <v>77</v>
      </c>
      <c r="J6" s="47" t="s">
        <v>78</v>
      </c>
      <c r="K6" s="48" t="s">
        <v>79</v>
      </c>
      <c r="L6" s="26"/>
      <c r="M6" s="27"/>
      <c r="N6" s="27"/>
      <c r="O6" s="28"/>
      <c r="P6" s="29"/>
    </row>
    <row r="7" spans="1:20" s="30" customFormat="1" ht="13" x14ac:dyDescent="0.2">
      <c r="A7" s="41"/>
      <c r="B7" s="41">
        <v>1</v>
      </c>
      <c r="C7" s="41"/>
      <c r="D7" s="41"/>
      <c r="E7" s="41"/>
      <c r="G7" s="49">
        <v>1</v>
      </c>
      <c r="H7" s="50" t="s">
        <v>80</v>
      </c>
      <c r="I7" s="51">
        <v>20.440000000000001</v>
      </c>
      <c r="J7" s="51">
        <v>20.440000000000001</v>
      </c>
      <c r="K7" s="52">
        <v>0.219</v>
      </c>
      <c r="L7" s="26"/>
      <c r="M7" s="27">
        <f>+I7*100/$I$253</f>
        <v>0.21712527831126691</v>
      </c>
      <c r="N7" s="27">
        <f>+ROUND(M7,4)</f>
        <v>0.21709999999999999</v>
      </c>
      <c r="O7" s="53">
        <v>0.219</v>
      </c>
      <c r="P7" s="29">
        <f>+ROUND(M7,2)</f>
        <v>0.22</v>
      </c>
      <c r="Q7" s="54">
        <f>+COUNTIF($O$7:$O$252,O7)</f>
        <v>1</v>
      </c>
      <c r="S7" s="51">
        <v>20.440000000000001</v>
      </c>
      <c r="T7" s="52">
        <v>0.219</v>
      </c>
    </row>
    <row r="8" spans="1:20" s="30" customFormat="1" ht="13" x14ac:dyDescent="0.2">
      <c r="A8" s="41"/>
      <c r="B8" s="41">
        <f>+B7+1</f>
        <v>2</v>
      </c>
      <c r="C8" s="41"/>
      <c r="D8" s="41"/>
      <c r="E8" s="41"/>
      <c r="G8" s="49">
        <f>+G7+1</f>
        <v>2</v>
      </c>
      <c r="H8" s="50" t="s">
        <v>81</v>
      </c>
      <c r="I8" s="51">
        <v>14.72</v>
      </c>
      <c r="J8" s="51">
        <v>14.72</v>
      </c>
      <c r="K8" s="52">
        <v>0.156</v>
      </c>
      <c r="L8" s="26"/>
      <c r="M8" s="27">
        <f t="shared" ref="M8:M71" si="0">+I8*100/$I$253</f>
        <v>0.15636419259989473</v>
      </c>
      <c r="N8" s="27">
        <f t="shared" ref="N8:N71" si="1">+ROUND(M8,4)</f>
        <v>0.15640000000000001</v>
      </c>
      <c r="O8" s="28">
        <f t="shared" ref="O8:O71" si="2">+ROUND(M8,3)</f>
        <v>0.156</v>
      </c>
      <c r="P8" s="29">
        <f t="shared" ref="P8:P71" si="3">+ROUND(M8,2)</f>
        <v>0.16</v>
      </c>
      <c r="Q8" s="54">
        <f t="shared" ref="Q8:Q71" si="4">+COUNTIF($O$7:$O$252,O8)</f>
        <v>2</v>
      </c>
      <c r="S8" s="51">
        <v>14.72</v>
      </c>
      <c r="T8" s="52">
        <v>0.156</v>
      </c>
    </row>
    <row r="9" spans="1:20" s="30" customFormat="1" ht="13" x14ac:dyDescent="0.2">
      <c r="A9" s="41"/>
      <c r="B9" s="41">
        <f t="shared" ref="B9:B67" si="5">+B8+1</f>
        <v>3</v>
      </c>
      <c r="C9" s="41"/>
      <c r="D9" s="41"/>
      <c r="E9" s="41"/>
      <c r="G9" s="49">
        <f t="shared" ref="G9:G72" si="6">+G8+1</f>
        <v>3</v>
      </c>
      <c r="H9" s="50" t="s">
        <v>82</v>
      </c>
      <c r="I9" s="51">
        <v>13.43</v>
      </c>
      <c r="J9" s="51">
        <v>13.43</v>
      </c>
      <c r="K9" s="52">
        <v>0.14299999999999999</v>
      </c>
      <c r="L9" s="26"/>
      <c r="M9" s="27">
        <f t="shared" si="0"/>
        <v>0.14266108061253985</v>
      </c>
      <c r="N9" s="27">
        <f t="shared" si="1"/>
        <v>0.14269999999999999</v>
      </c>
      <c r="O9" s="28">
        <f t="shared" si="2"/>
        <v>0.14299999999999999</v>
      </c>
      <c r="P9" s="29">
        <f t="shared" si="3"/>
        <v>0.14000000000000001</v>
      </c>
      <c r="Q9" s="54">
        <f t="shared" si="4"/>
        <v>7</v>
      </c>
      <c r="S9" s="51">
        <v>13.43</v>
      </c>
      <c r="T9" s="52">
        <v>0.14299999999999999</v>
      </c>
    </row>
    <row r="10" spans="1:20" s="30" customFormat="1" ht="13" x14ac:dyDescent="0.2">
      <c r="A10" s="41"/>
      <c r="B10" s="41">
        <f t="shared" si="5"/>
        <v>4</v>
      </c>
      <c r="C10" s="41"/>
      <c r="D10" s="41"/>
      <c r="E10" s="41"/>
      <c r="G10" s="49">
        <f t="shared" si="6"/>
        <v>4</v>
      </c>
      <c r="H10" s="50" t="s">
        <v>83</v>
      </c>
      <c r="I10" s="51">
        <v>13.4</v>
      </c>
      <c r="J10" s="51">
        <v>13.4</v>
      </c>
      <c r="K10" s="52">
        <v>0.14199999999999999</v>
      </c>
      <c r="L10" s="26"/>
      <c r="M10" s="27">
        <f t="shared" si="0"/>
        <v>0.14234240358957809</v>
      </c>
      <c r="N10" s="27">
        <f t="shared" si="1"/>
        <v>0.14230000000000001</v>
      </c>
      <c r="O10" s="28">
        <f t="shared" si="2"/>
        <v>0.14199999999999999</v>
      </c>
      <c r="P10" s="29">
        <f t="shared" si="3"/>
        <v>0.14000000000000001</v>
      </c>
      <c r="Q10" s="54">
        <f t="shared" si="4"/>
        <v>3</v>
      </c>
      <c r="S10" s="51">
        <v>13.4</v>
      </c>
      <c r="T10" s="52">
        <v>0.14199999999999999</v>
      </c>
    </row>
    <row r="11" spans="1:20" s="30" customFormat="1" ht="13" x14ac:dyDescent="0.2">
      <c r="A11" s="41"/>
      <c r="B11" s="41">
        <f t="shared" si="5"/>
        <v>5</v>
      </c>
      <c r="C11" s="41"/>
      <c r="D11" s="41"/>
      <c r="E11" s="41"/>
      <c r="G11" s="49">
        <f t="shared" si="6"/>
        <v>5</v>
      </c>
      <c r="H11" s="50" t="s">
        <v>84</v>
      </c>
      <c r="I11" s="51">
        <v>14.29</v>
      </c>
      <c r="J11" s="51">
        <v>14.29</v>
      </c>
      <c r="K11" s="52">
        <v>0.154</v>
      </c>
      <c r="L11" s="26"/>
      <c r="M11" s="27">
        <f t="shared" si="0"/>
        <v>0.15179648860410977</v>
      </c>
      <c r="N11" s="27">
        <f t="shared" si="1"/>
        <v>0.15179999999999999</v>
      </c>
      <c r="O11" s="53">
        <v>0.154</v>
      </c>
      <c r="P11" s="29">
        <f t="shared" si="3"/>
        <v>0.15</v>
      </c>
      <c r="Q11" s="54">
        <f t="shared" si="4"/>
        <v>1</v>
      </c>
      <c r="S11" s="51">
        <v>14.29</v>
      </c>
      <c r="T11" s="52">
        <v>0.154</v>
      </c>
    </row>
    <row r="12" spans="1:20" s="30" customFormat="1" ht="13" x14ac:dyDescent="0.2">
      <c r="A12" s="41"/>
      <c r="B12" s="41">
        <f t="shared" si="5"/>
        <v>6</v>
      </c>
      <c r="C12" s="41"/>
      <c r="D12" s="41"/>
      <c r="E12" s="41"/>
      <c r="G12" s="49">
        <f t="shared" si="6"/>
        <v>6</v>
      </c>
      <c r="H12" s="50" t="s">
        <v>85</v>
      </c>
      <c r="I12" s="51">
        <v>17.2</v>
      </c>
      <c r="J12" s="51">
        <v>17.2</v>
      </c>
      <c r="K12" s="52">
        <v>0.185</v>
      </c>
      <c r="L12" s="26"/>
      <c r="M12" s="27">
        <f t="shared" si="0"/>
        <v>0.18270815983139874</v>
      </c>
      <c r="N12" s="27">
        <f t="shared" si="1"/>
        <v>0.1827</v>
      </c>
      <c r="O12" s="53">
        <v>0.185</v>
      </c>
      <c r="P12" s="29">
        <f t="shared" si="3"/>
        <v>0.18</v>
      </c>
      <c r="Q12" s="54">
        <f t="shared" si="4"/>
        <v>1</v>
      </c>
      <c r="S12" s="51">
        <v>17.2</v>
      </c>
      <c r="T12" s="52">
        <v>0.185</v>
      </c>
    </row>
    <row r="13" spans="1:20" s="30" customFormat="1" ht="13" x14ac:dyDescent="0.2">
      <c r="A13" s="41"/>
      <c r="B13" s="41">
        <f t="shared" si="5"/>
        <v>7</v>
      </c>
      <c r="C13" s="41"/>
      <c r="D13" s="41"/>
      <c r="E13" s="41"/>
      <c r="G13" s="49">
        <f t="shared" si="6"/>
        <v>7</v>
      </c>
      <c r="H13" s="50" t="s">
        <v>86</v>
      </c>
      <c r="I13" s="51">
        <v>12.19</v>
      </c>
      <c r="J13" s="51">
        <v>12.19</v>
      </c>
      <c r="K13" s="52">
        <v>0.129</v>
      </c>
      <c r="L13" s="26"/>
      <c r="M13" s="27">
        <f t="shared" si="0"/>
        <v>0.12948909699678784</v>
      </c>
      <c r="N13" s="27">
        <f t="shared" si="1"/>
        <v>0.1295</v>
      </c>
      <c r="O13" s="28">
        <f t="shared" si="2"/>
        <v>0.129</v>
      </c>
      <c r="P13" s="29">
        <f t="shared" si="3"/>
        <v>0.13</v>
      </c>
      <c r="Q13" s="54">
        <f t="shared" si="4"/>
        <v>4</v>
      </c>
      <c r="S13" s="51">
        <v>12.19</v>
      </c>
      <c r="T13" s="52">
        <v>0.129</v>
      </c>
    </row>
    <row r="14" spans="1:20" s="30" customFormat="1" ht="13" x14ac:dyDescent="0.2">
      <c r="A14" s="41"/>
      <c r="B14" s="41">
        <f t="shared" si="5"/>
        <v>8</v>
      </c>
      <c r="C14" s="41"/>
      <c r="D14" s="41"/>
      <c r="E14" s="41"/>
      <c r="G14" s="49">
        <f t="shared" si="6"/>
        <v>8</v>
      </c>
      <c r="H14" s="50" t="s">
        <v>87</v>
      </c>
      <c r="I14" s="51">
        <v>12.19</v>
      </c>
      <c r="J14" s="51">
        <v>12.19</v>
      </c>
      <c r="K14" s="52">
        <v>0.129</v>
      </c>
      <c r="L14" s="26"/>
      <c r="M14" s="27">
        <f t="shared" si="0"/>
        <v>0.12948909699678784</v>
      </c>
      <c r="N14" s="27">
        <f t="shared" si="1"/>
        <v>0.1295</v>
      </c>
      <c r="O14" s="28">
        <f t="shared" si="2"/>
        <v>0.129</v>
      </c>
      <c r="P14" s="29">
        <f t="shared" si="3"/>
        <v>0.13</v>
      </c>
      <c r="Q14" s="54">
        <f t="shared" si="4"/>
        <v>4</v>
      </c>
      <c r="S14" s="51">
        <v>12.19</v>
      </c>
      <c r="T14" s="52">
        <v>0.129</v>
      </c>
    </row>
    <row r="15" spans="1:20" s="30" customFormat="1" ht="13" x14ac:dyDescent="0.2">
      <c r="A15" s="41"/>
      <c r="B15" s="41">
        <f t="shared" si="5"/>
        <v>9</v>
      </c>
      <c r="C15" s="41"/>
      <c r="D15" s="41"/>
      <c r="E15" s="41"/>
      <c r="G15" s="49">
        <f t="shared" si="6"/>
        <v>9</v>
      </c>
      <c r="H15" s="50" t="s">
        <v>88</v>
      </c>
      <c r="I15" s="51">
        <v>12.7</v>
      </c>
      <c r="J15" s="51">
        <v>12.7</v>
      </c>
      <c r="K15" s="52">
        <v>0.13500000000000001</v>
      </c>
      <c r="L15" s="26"/>
      <c r="M15" s="27">
        <f t="shared" si="0"/>
        <v>0.13490660638713745</v>
      </c>
      <c r="N15" s="27">
        <f t="shared" si="1"/>
        <v>0.13489999999999999</v>
      </c>
      <c r="O15" s="28">
        <f t="shared" si="2"/>
        <v>0.13500000000000001</v>
      </c>
      <c r="P15" s="29">
        <f t="shared" si="3"/>
        <v>0.13</v>
      </c>
      <c r="Q15" s="54">
        <f t="shared" si="4"/>
        <v>7</v>
      </c>
      <c r="S15" s="51">
        <v>12.7</v>
      </c>
      <c r="T15" s="52">
        <v>0.13500000000000001</v>
      </c>
    </row>
    <row r="16" spans="1:20" s="30" customFormat="1" ht="13" x14ac:dyDescent="0.2">
      <c r="A16" s="41"/>
      <c r="B16" s="41">
        <f t="shared" si="5"/>
        <v>10</v>
      </c>
      <c r="C16" s="41"/>
      <c r="D16" s="41"/>
      <c r="E16" s="41"/>
      <c r="G16" s="49">
        <f t="shared" si="6"/>
        <v>10</v>
      </c>
      <c r="H16" s="50" t="s">
        <v>89</v>
      </c>
      <c r="I16" s="51">
        <v>12.7</v>
      </c>
      <c r="J16" s="51">
        <v>12.7</v>
      </c>
      <c r="K16" s="52">
        <v>0.13500000000000001</v>
      </c>
      <c r="L16" s="26"/>
      <c r="M16" s="27">
        <f t="shared" si="0"/>
        <v>0.13490660638713745</v>
      </c>
      <c r="N16" s="27">
        <f t="shared" si="1"/>
        <v>0.13489999999999999</v>
      </c>
      <c r="O16" s="28">
        <f t="shared" si="2"/>
        <v>0.13500000000000001</v>
      </c>
      <c r="P16" s="29">
        <f t="shared" si="3"/>
        <v>0.13</v>
      </c>
      <c r="Q16" s="54">
        <f t="shared" si="4"/>
        <v>7</v>
      </c>
      <c r="S16" s="51">
        <v>12.7</v>
      </c>
      <c r="T16" s="52">
        <v>0.13500000000000001</v>
      </c>
    </row>
    <row r="17" spans="1:20" s="30" customFormat="1" ht="13" x14ac:dyDescent="0.2">
      <c r="A17" s="41"/>
      <c r="B17" s="41">
        <f t="shared" si="5"/>
        <v>11</v>
      </c>
      <c r="C17" s="41"/>
      <c r="D17" s="41"/>
      <c r="E17" s="41"/>
      <c r="G17" s="49">
        <f t="shared" si="6"/>
        <v>11</v>
      </c>
      <c r="H17" s="50" t="s">
        <v>90</v>
      </c>
      <c r="I17" s="51">
        <v>18.079999999999998</v>
      </c>
      <c r="J17" s="51">
        <v>18.079999999999998</v>
      </c>
      <c r="K17" s="52">
        <v>0.19400000000000001</v>
      </c>
      <c r="L17" s="26"/>
      <c r="M17" s="27">
        <f t="shared" si="0"/>
        <v>0.19205601917160983</v>
      </c>
      <c r="N17" s="27">
        <f t="shared" si="1"/>
        <v>0.19209999999999999</v>
      </c>
      <c r="O17" s="53">
        <v>0.19400000000000001</v>
      </c>
      <c r="P17" s="29">
        <f t="shared" si="3"/>
        <v>0.19</v>
      </c>
      <c r="Q17" s="54">
        <f t="shared" si="4"/>
        <v>1</v>
      </c>
      <c r="S17" s="51">
        <v>18.079999999999998</v>
      </c>
      <c r="T17" s="52">
        <v>0.19400000000000001</v>
      </c>
    </row>
    <row r="18" spans="1:20" s="30" customFormat="1" ht="13" x14ac:dyDescent="0.2">
      <c r="A18" s="41"/>
      <c r="B18" s="41">
        <f t="shared" si="5"/>
        <v>12</v>
      </c>
      <c r="C18" s="41"/>
      <c r="D18" s="41"/>
      <c r="E18" s="41"/>
      <c r="G18" s="49">
        <f t="shared" si="6"/>
        <v>12</v>
      </c>
      <c r="H18" s="50" t="s">
        <v>91</v>
      </c>
      <c r="I18" s="51">
        <v>12.19</v>
      </c>
      <c r="J18" s="51">
        <v>12.19</v>
      </c>
      <c r="K18" s="52">
        <v>0.129</v>
      </c>
      <c r="L18" s="26"/>
      <c r="M18" s="27">
        <f t="shared" si="0"/>
        <v>0.12948909699678784</v>
      </c>
      <c r="N18" s="27">
        <f t="shared" si="1"/>
        <v>0.1295</v>
      </c>
      <c r="O18" s="28">
        <f t="shared" si="2"/>
        <v>0.129</v>
      </c>
      <c r="P18" s="29">
        <f t="shared" si="3"/>
        <v>0.13</v>
      </c>
      <c r="Q18" s="54">
        <f t="shared" si="4"/>
        <v>4</v>
      </c>
      <c r="S18" s="51">
        <v>12.19</v>
      </c>
      <c r="T18" s="52">
        <v>0.129</v>
      </c>
    </row>
    <row r="19" spans="1:20" s="30" customFormat="1" ht="13" x14ac:dyDescent="0.2">
      <c r="A19" s="41"/>
      <c r="B19" s="41">
        <f t="shared" si="5"/>
        <v>13</v>
      </c>
      <c r="C19" s="41"/>
      <c r="D19" s="41"/>
      <c r="E19" s="41"/>
      <c r="G19" s="49">
        <f t="shared" si="6"/>
        <v>13</v>
      </c>
      <c r="H19" s="50" t="s">
        <v>92</v>
      </c>
      <c r="I19" s="51">
        <v>12.19</v>
      </c>
      <c r="J19" s="51">
        <v>12.19</v>
      </c>
      <c r="K19" s="52">
        <v>0.129</v>
      </c>
      <c r="L19" s="26"/>
      <c r="M19" s="27">
        <f t="shared" si="0"/>
        <v>0.12948909699678784</v>
      </c>
      <c r="N19" s="27">
        <f t="shared" si="1"/>
        <v>0.1295</v>
      </c>
      <c r="O19" s="28">
        <f t="shared" si="2"/>
        <v>0.129</v>
      </c>
      <c r="P19" s="29">
        <f t="shared" si="3"/>
        <v>0.13</v>
      </c>
      <c r="Q19" s="54">
        <f t="shared" si="4"/>
        <v>4</v>
      </c>
      <c r="S19" s="51">
        <v>12.19</v>
      </c>
      <c r="T19" s="52">
        <v>0.129</v>
      </c>
    </row>
    <row r="20" spans="1:20" s="30" customFormat="1" ht="13" x14ac:dyDescent="0.2">
      <c r="A20" s="41"/>
      <c r="B20" s="41">
        <f t="shared" si="5"/>
        <v>14</v>
      </c>
      <c r="C20" s="41"/>
      <c r="D20" s="41"/>
      <c r="E20" s="41"/>
      <c r="G20" s="49">
        <f t="shared" si="6"/>
        <v>14</v>
      </c>
      <c r="H20" s="50" t="s">
        <v>93</v>
      </c>
      <c r="I20" s="51">
        <v>12.7</v>
      </c>
      <c r="J20" s="51">
        <v>12.7</v>
      </c>
      <c r="K20" s="52">
        <v>0.13500000000000001</v>
      </c>
      <c r="L20" s="26"/>
      <c r="M20" s="27">
        <f t="shared" si="0"/>
        <v>0.13490660638713745</v>
      </c>
      <c r="N20" s="27">
        <f t="shared" si="1"/>
        <v>0.13489999999999999</v>
      </c>
      <c r="O20" s="28">
        <f t="shared" si="2"/>
        <v>0.13500000000000001</v>
      </c>
      <c r="P20" s="29">
        <f t="shared" si="3"/>
        <v>0.13</v>
      </c>
      <c r="Q20" s="54">
        <f t="shared" si="4"/>
        <v>7</v>
      </c>
      <c r="S20" s="51">
        <v>12.7</v>
      </c>
      <c r="T20" s="52">
        <v>0.13500000000000001</v>
      </c>
    </row>
    <row r="21" spans="1:20" s="30" customFormat="1" ht="13" x14ac:dyDescent="0.2">
      <c r="A21" s="41"/>
      <c r="B21" s="41">
        <f t="shared" si="5"/>
        <v>15</v>
      </c>
      <c r="C21" s="41"/>
      <c r="D21" s="41"/>
      <c r="E21" s="41"/>
      <c r="G21" s="49">
        <f t="shared" si="6"/>
        <v>15</v>
      </c>
      <c r="H21" s="50" t="s">
        <v>94</v>
      </c>
      <c r="I21" s="51">
        <v>12.7</v>
      </c>
      <c r="J21" s="51">
        <v>12.7</v>
      </c>
      <c r="K21" s="52">
        <v>0.13500000000000001</v>
      </c>
      <c r="L21" s="26"/>
      <c r="M21" s="27">
        <f t="shared" si="0"/>
        <v>0.13490660638713745</v>
      </c>
      <c r="N21" s="27">
        <f t="shared" si="1"/>
        <v>0.13489999999999999</v>
      </c>
      <c r="O21" s="28">
        <f t="shared" si="2"/>
        <v>0.13500000000000001</v>
      </c>
      <c r="P21" s="29">
        <f t="shared" si="3"/>
        <v>0.13</v>
      </c>
      <c r="Q21" s="54">
        <f t="shared" si="4"/>
        <v>7</v>
      </c>
      <c r="S21" s="51">
        <v>12.7</v>
      </c>
      <c r="T21" s="52">
        <v>0.13500000000000001</v>
      </c>
    </row>
    <row r="22" spans="1:20" s="30" customFormat="1" ht="13" x14ac:dyDescent="0.2">
      <c r="A22" s="41"/>
      <c r="B22" s="41">
        <f t="shared" si="5"/>
        <v>16</v>
      </c>
      <c r="C22" s="41"/>
      <c r="D22" s="41"/>
      <c r="E22" s="41"/>
      <c r="G22" s="49">
        <f t="shared" si="6"/>
        <v>16</v>
      </c>
      <c r="H22" s="50" t="s">
        <v>95</v>
      </c>
      <c r="I22" s="51">
        <v>23.75</v>
      </c>
      <c r="J22" s="51">
        <v>23.75</v>
      </c>
      <c r="K22" s="52">
        <v>0.254</v>
      </c>
      <c r="L22" s="26"/>
      <c r="M22" s="27">
        <f t="shared" si="0"/>
        <v>0.25228597651137907</v>
      </c>
      <c r="N22" s="27">
        <f t="shared" si="1"/>
        <v>0.25230000000000002</v>
      </c>
      <c r="O22" s="53">
        <v>0.254</v>
      </c>
      <c r="P22" s="29">
        <f t="shared" si="3"/>
        <v>0.25</v>
      </c>
      <c r="Q22" s="54">
        <f t="shared" si="4"/>
        <v>1</v>
      </c>
      <c r="S22" s="51">
        <v>23.75</v>
      </c>
      <c r="T22" s="52">
        <v>0.254</v>
      </c>
    </row>
    <row r="23" spans="1:20" s="30" customFormat="1" ht="13" x14ac:dyDescent="0.2">
      <c r="A23" s="41"/>
      <c r="B23" s="41">
        <f t="shared" si="5"/>
        <v>17</v>
      </c>
      <c r="C23" s="41"/>
      <c r="D23" s="41"/>
      <c r="E23" s="41"/>
      <c r="G23" s="49">
        <f t="shared" si="6"/>
        <v>17</v>
      </c>
      <c r="H23" s="50" t="s">
        <v>96</v>
      </c>
      <c r="I23" s="51">
        <v>22.52</v>
      </c>
      <c r="J23" s="51">
        <v>22.52</v>
      </c>
      <c r="K23" s="52">
        <v>0.24099999999999999</v>
      </c>
      <c r="L23" s="26"/>
      <c r="M23" s="27">
        <f t="shared" si="0"/>
        <v>0.23922021856994766</v>
      </c>
      <c r="N23" s="27">
        <f t="shared" si="1"/>
        <v>0.2392</v>
      </c>
      <c r="O23" s="53">
        <v>0.24099999999999999</v>
      </c>
      <c r="P23" s="29">
        <f t="shared" si="3"/>
        <v>0.24</v>
      </c>
      <c r="Q23" s="54">
        <f t="shared" si="4"/>
        <v>1</v>
      </c>
      <c r="S23" s="51">
        <v>22.52</v>
      </c>
      <c r="T23" s="52">
        <v>0.24099999999999999</v>
      </c>
    </row>
    <row r="24" spans="1:20" s="30" customFormat="1" ht="13" x14ac:dyDescent="0.2">
      <c r="A24" s="41"/>
      <c r="B24" s="41">
        <f t="shared" si="5"/>
        <v>18</v>
      </c>
      <c r="C24" s="41"/>
      <c r="D24" s="41"/>
      <c r="E24" s="41"/>
      <c r="G24" s="49">
        <f t="shared" si="6"/>
        <v>18</v>
      </c>
      <c r="H24" s="50" t="s">
        <v>97</v>
      </c>
      <c r="I24" s="51">
        <v>12.75</v>
      </c>
      <c r="J24" s="51">
        <v>12.75</v>
      </c>
      <c r="K24" s="52">
        <v>0.13500000000000001</v>
      </c>
      <c r="L24" s="26"/>
      <c r="M24" s="27">
        <f t="shared" si="0"/>
        <v>0.13543773475874035</v>
      </c>
      <c r="N24" s="27">
        <f t="shared" si="1"/>
        <v>0.13539999999999999</v>
      </c>
      <c r="O24" s="28">
        <f t="shared" si="2"/>
        <v>0.13500000000000001</v>
      </c>
      <c r="P24" s="29">
        <f t="shared" si="3"/>
        <v>0.14000000000000001</v>
      </c>
      <c r="Q24" s="54">
        <f t="shared" si="4"/>
        <v>7</v>
      </c>
      <c r="S24" s="51">
        <v>12.75</v>
      </c>
      <c r="T24" s="52">
        <v>0.13500000000000001</v>
      </c>
    </row>
    <row r="25" spans="1:20" s="30" customFormat="1" ht="13" x14ac:dyDescent="0.2">
      <c r="A25" s="41"/>
      <c r="B25" s="41">
        <f t="shared" si="5"/>
        <v>19</v>
      </c>
      <c r="C25" s="41"/>
      <c r="D25" s="41"/>
      <c r="E25" s="41"/>
      <c r="G25" s="49">
        <f t="shared" si="6"/>
        <v>19</v>
      </c>
      <c r="H25" s="50" t="s">
        <v>98</v>
      </c>
      <c r="I25" s="51">
        <v>15.81</v>
      </c>
      <c r="J25" s="51">
        <v>15.81</v>
      </c>
      <c r="K25" s="52">
        <v>0.16800000000000001</v>
      </c>
      <c r="L25" s="26"/>
      <c r="M25" s="27">
        <f t="shared" si="0"/>
        <v>0.16794279110083804</v>
      </c>
      <c r="N25" s="27">
        <f t="shared" si="1"/>
        <v>0.16789999999999999</v>
      </c>
      <c r="O25" s="28">
        <f t="shared" si="2"/>
        <v>0.16800000000000001</v>
      </c>
      <c r="P25" s="29">
        <f t="shared" si="3"/>
        <v>0.17</v>
      </c>
      <c r="Q25" s="54">
        <f t="shared" si="4"/>
        <v>1</v>
      </c>
      <c r="S25" s="51">
        <v>15.81</v>
      </c>
      <c r="T25" s="52">
        <v>0.16800000000000001</v>
      </c>
    </row>
    <row r="26" spans="1:20" s="30" customFormat="1" ht="13" x14ac:dyDescent="0.2">
      <c r="A26" s="41"/>
      <c r="B26" s="41">
        <f t="shared" si="5"/>
        <v>20</v>
      </c>
      <c r="C26" s="41"/>
      <c r="D26" s="41"/>
      <c r="E26" s="41"/>
      <c r="G26" s="49">
        <f t="shared" si="6"/>
        <v>20</v>
      </c>
      <c r="H26" s="50" t="s">
        <v>99</v>
      </c>
      <c r="I26" s="51">
        <v>15.39</v>
      </c>
      <c r="J26" s="51">
        <v>15.39</v>
      </c>
      <c r="K26" s="52">
        <v>0.16300000000000001</v>
      </c>
      <c r="L26" s="26"/>
      <c r="M26" s="27">
        <f t="shared" si="0"/>
        <v>0.16348131277937364</v>
      </c>
      <c r="N26" s="27">
        <f t="shared" si="1"/>
        <v>0.16350000000000001</v>
      </c>
      <c r="O26" s="28">
        <f t="shared" si="2"/>
        <v>0.16300000000000001</v>
      </c>
      <c r="P26" s="29">
        <f t="shared" si="3"/>
        <v>0.16</v>
      </c>
      <c r="Q26" s="54">
        <f t="shared" si="4"/>
        <v>3</v>
      </c>
      <c r="S26" s="51">
        <v>15.39</v>
      </c>
      <c r="T26" s="52">
        <v>0.16300000000000001</v>
      </c>
    </row>
    <row r="27" spans="1:20" s="30" customFormat="1" ht="13" x14ac:dyDescent="0.2">
      <c r="A27" s="41"/>
      <c r="B27" s="41">
        <f t="shared" si="5"/>
        <v>21</v>
      </c>
      <c r="C27" s="41"/>
      <c r="D27" s="41"/>
      <c r="E27" s="41"/>
      <c r="G27" s="49">
        <f t="shared" si="6"/>
        <v>21</v>
      </c>
      <c r="H27" s="50" t="s">
        <v>100</v>
      </c>
      <c r="I27" s="51">
        <v>15.39</v>
      </c>
      <c r="J27" s="51">
        <v>15.39</v>
      </c>
      <c r="K27" s="52">
        <v>0.16300000000000001</v>
      </c>
      <c r="L27" s="26"/>
      <c r="M27" s="27">
        <f t="shared" si="0"/>
        <v>0.16348131277937364</v>
      </c>
      <c r="N27" s="27">
        <f t="shared" si="1"/>
        <v>0.16350000000000001</v>
      </c>
      <c r="O27" s="28">
        <f t="shared" si="2"/>
        <v>0.16300000000000001</v>
      </c>
      <c r="P27" s="29">
        <f t="shared" si="3"/>
        <v>0.16</v>
      </c>
      <c r="Q27" s="54">
        <f t="shared" si="4"/>
        <v>3</v>
      </c>
      <c r="S27" s="51">
        <v>15.39</v>
      </c>
      <c r="T27" s="52">
        <v>0.16300000000000001</v>
      </c>
    </row>
    <row r="28" spans="1:20" s="30" customFormat="1" ht="13" x14ac:dyDescent="0.2">
      <c r="A28" s="41"/>
      <c r="B28" s="41">
        <f t="shared" si="5"/>
        <v>22</v>
      </c>
      <c r="C28" s="41"/>
      <c r="D28" s="41"/>
      <c r="E28" s="41"/>
      <c r="G28" s="49">
        <f t="shared" si="6"/>
        <v>22</v>
      </c>
      <c r="H28" s="50" t="s">
        <v>101</v>
      </c>
      <c r="I28" s="51">
        <v>15.45</v>
      </c>
      <c r="J28" s="51">
        <v>15.45</v>
      </c>
      <c r="K28" s="52">
        <v>0.16400000000000001</v>
      </c>
      <c r="L28" s="26"/>
      <c r="M28" s="27">
        <f t="shared" si="0"/>
        <v>0.16411866682529713</v>
      </c>
      <c r="N28" s="27">
        <f t="shared" si="1"/>
        <v>0.1641</v>
      </c>
      <c r="O28" s="28">
        <f t="shared" si="2"/>
        <v>0.16400000000000001</v>
      </c>
      <c r="P28" s="29">
        <f t="shared" si="3"/>
        <v>0.16</v>
      </c>
      <c r="Q28" s="54">
        <f t="shared" si="4"/>
        <v>1</v>
      </c>
      <c r="S28" s="51">
        <v>15.45</v>
      </c>
      <c r="T28" s="52">
        <v>0.16400000000000001</v>
      </c>
    </row>
    <row r="29" spans="1:20" s="30" customFormat="1" ht="13" x14ac:dyDescent="0.2">
      <c r="A29" s="41"/>
      <c r="B29" s="41">
        <f t="shared" si="5"/>
        <v>23</v>
      </c>
      <c r="C29" s="41"/>
      <c r="D29" s="41"/>
      <c r="E29" s="41"/>
      <c r="G29" s="49">
        <f t="shared" si="6"/>
        <v>23</v>
      </c>
      <c r="H29" s="50" t="s">
        <v>102</v>
      </c>
      <c r="I29" s="51">
        <v>15.39</v>
      </c>
      <c r="J29" s="51">
        <v>15.39</v>
      </c>
      <c r="K29" s="52">
        <v>0.16300000000000001</v>
      </c>
      <c r="L29" s="26"/>
      <c r="M29" s="27">
        <f t="shared" si="0"/>
        <v>0.16348131277937364</v>
      </c>
      <c r="N29" s="27">
        <f t="shared" si="1"/>
        <v>0.16350000000000001</v>
      </c>
      <c r="O29" s="28">
        <f t="shared" si="2"/>
        <v>0.16300000000000001</v>
      </c>
      <c r="P29" s="29">
        <f t="shared" si="3"/>
        <v>0.16</v>
      </c>
      <c r="Q29" s="54">
        <f t="shared" si="4"/>
        <v>3</v>
      </c>
      <c r="S29" s="51">
        <v>15.39</v>
      </c>
      <c r="T29" s="52">
        <v>0.16300000000000001</v>
      </c>
    </row>
    <row r="30" spans="1:20" s="30" customFormat="1" ht="13" x14ac:dyDescent="0.2">
      <c r="A30" s="41"/>
      <c r="B30" s="41">
        <f t="shared" si="5"/>
        <v>24</v>
      </c>
      <c r="C30" s="41"/>
      <c r="D30" s="41"/>
      <c r="E30" s="41"/>
      <c r="G30" s="49">
        <f t="shared" si="6"/>
        <v>24</v>
      </c>
      <c r="H30" s="50" t="s">
        <v>103</v>
      </c>
      <c r="I30" s="51">
        <v>12.75</v>
      </c>
      <c r="J30" s="51">
        <v>12.75</v>
      </c>
      <c r="K30" s="52">
        <v>0.13500000000000001</v>
      </c>
      <c r="L30" s="26"/>
      <c r="M30" s="27">
        <f t="shared" si="0"/>
        <v>0.13543773475874035</v>
      </c>
      <c r="N30" s="27">
        <f t="shared" si="1"/>
        <v>0.13539999999999999</v>
      </c>
      <c r="O30" s="28">
        <f t="shared" si="2"/>
        <v>0.13500000000000001</v>
      </c>
      <c r="P30" s="29">
        <f t="shared" si="3"/>
        <v>0.14000000000000001</v>
      </c>
      <c r="Q30" s="54">
        <f t="shared" si="4"/>
        <v>7</v>
      </c>
      <c r="S30" s="51">
        <v>12.75</v>
      </c>
      <c r="T30" s="52">
        <v>0.13500000000000001</v>
      </c>
    </row>
    <row r="31" spans="1:20" s="30" customFormat="1" ht="13" x14ac:dyDescent="0.2">
      <c r="A31" s="41"/>
      <c r="B31" s="41">
        <f t="shared" si="5"/>
        <v>25</v>
      </c>
      <c r="C31" s="41"/>
      <c r="D31" s="41"/>
      <c r="E31" s="41"/>
      <c r="G31" s="49">
        <f t="shared" si="6"/>
        <v>25</v>
      </c>
      <c r="H31" s="50" t="s">
        <v>104</v>
      </c>
      <c r="I31" s="51">
        <v>13.35</v>
      </c>
      <c r="J31" s="51">
        <v>13.35</v>
      </c>
      <c r="K31" s="52">
        <v>0.14199999999999999</v>
      </c>
      <c r="L31" s="26"/>
      <c r="M31" s="27">
        <f t="shared" si="0"/>
        <v>0.14181127521797518</v>
      </c>
      <c r="N31" s="27">
        <f t="shared" si="1"/>
        <v>0.14180000000000001</v>
      </c>
      <c r="O31" s="28">
        <f t="shared" si="2"/>
        <v>0.14199999999999999</v>
      </c>
      <c r="P31" s="29">
        <f t="shared" si="3"/>
        <v>0.14000000000000001</v>
      </c>
      <c r="Q31" s="54">
        <f t="shared" si="4"/>
        <v>3</v>
      </c>
      <c r="S31" s="51">
        <v>13.35</v>
      </c>
      <c r="T31" s="52">
        <v>0.14199999999999999</v>
      </c>
    </row>
    <row r="32" spans="1:20" s="30" customFormat="1" ht="13" x14ac:dyDescent="0.2">
      <c r="A32" s="41"/>
      <c r="B32" s="41">
        <f t="shared" si="5"/>
        <v>26</v>
      </c>
      <c r="C32" s="41"/>
      <c r="D32" s="41"/>
      <c r="E32" s="41"/>
      <c r="G32" s="49">
        <f t="shared" si="6"/>
        <v>26</v>
      </c>
      <c r="H32" s="50" t="s">
        <v>105</v>
      </c>
      <c r="I32" s="51">
        <v>13.5</v>
      </c>
      <c r="J32" s="51">
        <v>13.5</v>
      </c>
      <c r="K32" s="52">
        <v>0.14299999999999999</v>
      </c>
      <c r="L32" s="26"/>
      <c r="M32" s="27">
        <f t="shared" si="0"/>
        <v>0.1434046603327839</v>
      </c>
      <c r="N32" s="27">
        <f t="shared" si="1"/>
        <v>0.1434</v>
      </c>
      <c r="O32" s="28">
        <f t="shared" si="2"/>
        <v>0.14299999999999999</v>
      </c>
      <c r="P32" s="29">
        <f t="shared" si="3"/>
        <v>0.14000000000000001</v>
      </c>
      <c r="Q32" s="54">
        <f t="shared" si="4"/>
        <v>7</v>
      </c>
      <c r="S32" s="51">
        <v>13.5</v>
      </c>
      <c r="T32" s="52">
        <v>0.14299999999999999</v>
      </c>
    </row>
    <row r="33" spans="1:20" s="30" customFormat="1" ht="13" x14ac:dyDescent="0.2">
      <c r="A33" s="41"/>
      <c r="B33" s="41">
        <f t="shared" si="5"/>
        <v>27</v>
      </c>
      <c r="C33" s="41"/>
      <c r="D33" s="41"/>
      <c r="E33" s="41"/>
      <c r="G33" s="49">
        <f t="shared" si="6"/>
        <v>27</v>
      </c>
      <c r="H33" s="50" t="s">
        <v>106</v>
      </c>
      <c r="I33" s="51">
        <v>13.5</v>
      </c>
      <c r="J33" s="51">
        <v>13.5</v>
      </c>
      <c r="K33" s="52">
        <v>0.14299999999999999</v>
      </c>
      <c r="L33" s="26"/>
      <c r="M33" s="27">
        <f t="shared" si="0"/>
        <v>0.1434046603327839</v>
      </c>
      <c r="N33" s="27">
        <f t="shared" si="1"/>
        <v>0.1434</v>
      </c>
      <c r="O33" s="28">
        <f t="shared" si="2"/>
        <v>0.14299999999999999</v>
      </c>
      <c r="P33" s="29">
        <f t="shared" si="3"/>
        <v>0.14000000000000001</v>
      </c>
      <c r="Q33" s="54">
        <f t="shared" si="4"/>
        <v>7</v>
      </c>
      <c r="S33" s="51">
        <v>13.5</v>
      </c>
      <c r="T33" s="52">
        <v>0.14299999999999999</v>
      </c>
    </row>
    <row r="34" spans="1:20" s="30" customFormat="1" ht="13" x14ac:dyDescent="0.2">
      <c r="A34" s="41"/>
      <c r="B34" s="41">
        <f t="shared" si="5"/>
        <v>28</v>
      </c>
      <c r="C34" s="41"/>
      <c r="D34" s="41"/>
      <c r="E34" s="41"/>
      <c r="G34" s="49">
        <f t="shared" si="6"/>
        <v>28</v>
      </c>
      <c r="H34" s="50" t="s">
        <v>107</v>
      </c>
      <c r="I34" s="51">
        <v>13.5</v>
      </c>
      <c r="J34" s="51">
        <v>13.5</v>
      </c>
      <c r="K34" s="52">
        <v>0.14299999999999999</v>
      </c>
      <c r="L34" s="26"/>
      <c r="M34" s="27">
        <f t="shared" si="0"/>
        <v>0.1434046603327839</v>
      </c>
      <c r="N34" s="27">
        <f t="shared" si="1"/>
        <v>0.1434</v>
      </c>
      <c r="O34" s="28">
        <f t="shared" si="2"/>
        <v>0.14299999999999999</v>
      </c>
      <c r="P34" s="29">
        <f t="shared" si="3"/>
        <v>0.14000000000000001</v>
      </c>
      <c r="Q34" s="54">
        <f t="shared" si="4"/>
        <v>7</v>
      </c>
      <c r="S34" s="51">
        <v>13.5</v>
      </c>
      <c r="T34" s="52">
        <v>0.14299999999999999</v>
      </c>
    </row>
    <row r="35" spans="1:20" s="30" customFormat="1" ht="13" x14ac:dyDescent="0.2">
      <c r="A35" s="41"/>
      <c r="B35" s="41">
        <f t="shared" si="5"/>
        <v>29</v>
      </c>
      <c r="C35" s="41"/>
      <c r="D35" s="41"/>
      <c r="E35" s="41"/>
      <c r="G35" s="49">
        <f t="shared" si="6"/>
        <v>29</v>
      </c>
      <c r="H35" s="50" t="s">
        <v>108</v>
      </c>
      <c r="I35" s="51">
        <v>12.5</v>
      </c>
      <c r="J35" s="51">
        <v>12.5</v>
      </c>
      <c r="K35" s="52">
        <v>0.13300000000000001</v>
      </c>
      <c r="L35" s="26"/>
      <c r="M35" s="27">
        <f t="shared" si="0"/>
        <v>0.13278209290072585</v>
      </c>
      <c r="N35" s="27">
        <f t="shared" si="1"/>
        <v>0.1328</v>
      </c>
      <c r="O35" s="28">
        <f t="shared" si="2"/>
        <v>0.13300000000000001</v>
      </c>
      <c r="P35" s="29">
        <f t="shared" si="3"/>
        <v>0.13</v>
      </c>
      <c r="Q35" s="54">
        <f t="shared" si="4"/>
        <v>4</v>
      </c>
      <c r="S35" s="51">
        <v>12.5</v>
      </c>
      <c r="T35" s="52">
        <v>0.13300000000000001</v>
      </c>
    </row>
    <row r="36" spans="1:20" s="30" customFormat="1" ht="13" x14ac:dyDescent="0.2">
      <c r="A36" s="41"/>
      <c r="B36" s="41">
        <f t="shared" si="5"/>
        <v>30</v>
      </c>
      <c r="C36" s="41"/>
      <c r="D36" s="41"/>
      <c r="E36" s="41"/>
      <c r="G36" s="49">
        <f t="shared" si="6"/>
        <v>30</v>
      </c>
      <c r="H36" s="50" t="s">
        <v>109</v>
      </c>
      <c r="I36" s="51">
        <v>12.5</v>
      </c>
      <c r="J36" s="51">
        <v>12.5</v>
      </c>
      <c r="K36" s="52">
        <v>0.13300000000000001</v>
      </c>
      <c r="L36" s="26"/>
      <c r="M36" s="27">
        <f t="shared" si="0"/>
        <v>0.13278209290072585</v>
      </c>
      <c r="N36" s="27">
        <f t="shared" si="1"/>
        <v>0.1328</v>
      </c>
      <c r="O36" s="28">
        <f t="shared" si="2"/>
        <v>0.13300000000000001</v>
      </c>
      <c r="P36" s="29">
        <f t="shared" si="3"/>
        <v>0.13</v>
      </c>
      <c r="Q36" s="54">
        <f t="shared" si="4"/>
        <v>4</v>
      </c>
      <c r="S36" s="51">
        <v>12.5</v>
      </c>
      <c r="T36" s="52">
        <v>0.13300000000000001</v>
      </c>
    </row>
    <row r="37" spans="1:20" s="30" customFormat="1" ht="13" x14ac:dyDescent="0.2">
      <c r="A37" s="41"/>
      <c r="B37" s="41">
        <f t="shared" si="5"/>
        <v>31</v>
      </c>
      <c r="C37" s="41"/>
      <c r="D37" s="41"/>
      <c r="E37" s="41"/>
      <c r="G37" s="49">
        <f t="shared" si="6"/>
        <v>31</v>
      </c>
      <c r="H37" s="50" t="s">
        <v>110</v>
      </c>
      <c r="I37" s="51">
        <v>12.65</v>
      </c>
      <c r="J37" s="51">
        <v>12.65</v>
      </c>
      <c r="K37" s="52">
        <v>0.13400000000000001</v>
      </c>
      <c r="L37" s="26"/>
      <c r="M37" s="27">
        <f t="shared" si="0"/>
        <v>0.13437547801553454</v>
      </c>
      <c r="N37" s="27">
        <f t="shared" si="1"/>
        <v>0.13439999999999999</v>
      </c>
      <c r="O37" s="28">
        <f t="shared" si="2"/>
        <v>0.13400000000000001</v>
      </c>
      <c r="P37" s="29">
        <f t="shared" si="3"/>
        <v>0.13</v>
      </c>
      <c r="Q37" s="54">
        <f t="shared" si="4"/>
        <v>6</v>
      </c>
      <c r="S37" s="51">
        <v>12.65</v>
      </c>
      <c r="T37" s="52">
        <v>0.13400000000000001</v>
      </c>
    </row>
    <row r="38" spans="1:20" s="30" customFormat="1" ht="13" x14ac:dyDescent="0.2">
      <c r="A38" s="41"/>
      <c r="B38" s="41">
        <f t="shared" si="5"/>
        <v>32</v>
      </c>
      <c r="C38" s="41"/>
      <c r="D38" s="41"/>
      <c r="E38" s="41"/>
      <c r="G38" s="49">
        <f t="shared" si="6"/>
        <v>32</v>
      </c>
      <c r="H38" s="50" t="s">
        <v>111</v>
      </c>
      <c r="I38" s="51">
        <v>12.65</v>
      </c>
      <c r="J38" s="51">
        <v>12.65</v>
      </c>
      <c r="K38" s="52">
        <v>0.13400000000000001</v>
      </c>
      <c r="L38" s="26"/>
      <c r="M38" s="27">
        <f t="shared" si="0"/>
        <v>0.13437547801553454</v>
      </c>
      <c r="N38" s="27">
        <f t="shared" si="1"/>
        <v>0.13439999999999999</v>
      </c>
      <c r="O38" s="28">
        <f t="shared" si="2"/>
        <v>0.13400000000000001</v>
      </c>
      <c r="P38" s="29">
        <f t="shared" si="3"/>
        <v>0.13</v>
      </c>
      <c r="Q38" s="54">
        <f t="shared" si="4"/>
        <v>6</v>
      </c>
      <c r="S38" s="51">
        <v>12.65</v>
      </c>
      <c r="T38" s="52">
        <v>0.13400000000000001</v>
      </c>
    </row>
    <row r="39" spans="1:20" s="30" customFormat="1" ht="13" x14ac:dyDescent="0.2">
      <c r="A39" s="41"/>
      <c r="B39" s="41">
        <f t="shared" si="5"/>
        <v>33</v>
      </c>
      <c r="C39" s="41"/>
      <c r="D39" s="41"/>
      <c r="E39" s="41"/>
      <c r="G39" s="49">
        <f t="shared" si="6"/>
        <v>33</v>
      </c>
      <c r="H39" s="50" t="s">
        <v>112</v>
      </c>
      <c r="I39" s="51">
        <v>12.65</v>
      </c>
      <c r="J39" s="51">
        <v>12.65</v>
      </c>
      <c r="K39" s="52">
        <v>0.13400000000000001</v>
      </c>
      <c r="L39" s="26"/>
      <c r="M39" s="27">
        <f t="shared" si="0"/>
        <v>0.13437547801553454</v>
      </c>
      <c r="N39" s="27">
        <f t="shared" si="1"/>
        <v>0.13439999999999999</v>
      </c>
      <c r="O39" s="28">
        <f t="shared" si="2"/>
        <v>0.13400000000000001</v>
      </c>
      <c r="P39" s="29">
        <f t="shared" si="3"/>
        <v>0.13</v>
      </c>
      <c r="Q39" s="54">
        <f t="shared" si="4"/>
        <v>6</v>
      </c>
      <c r="S39" s="51">
        <v>12.65</v>
      </c>
      <c r="T39" s="52">
        <v>0.13400000000000001</v>
      </c>
    </row>
    <row r="40" spans="1:20" s="30" customFormat="1" ht="13" x14ac:dyDescent="0.2">
      <c r="A40" s="41"/>
      <c r="B40" s="41">
        <f t="shared" si="5"/>
        <v>34</v>
      </c>
      <c r="C40" s="41"/>
      <c r="D40" s="41"/>
      <c r="E40" s="41"/>
      <c r="G40" s="49">
        <f t="shared" si="6"/>
        <v>34</v>
      </c>
      <c r="H40" s="50" t="s">
        <v>113</v>
      </c>
      <c r="I40" s="51">
        <v>15.1</v>
      </c>
      <c r="J40" s="51">
        <v>15.1</v>
      </c>
      <c r="K40" s="52">
        <v>0.16</v>
      </c>
      <c r="L40" s="26"/>
      <c r="M40" s="27">
        <f t="shared" si="0"/>
        <v>0.16040076822407681</v>
      </c>
      <c r="N40" s="27">
        <f t="shared" si="1"/>
        <v>0.16039999999999999</v>
      </c>
      <c r="O40" s="28">
        <f t="shared" si="2"/>
        <v>0.16</v>
      </c>
      <c r="P40" s="29">
        <f t="shared" si="3"/>
        <v>0.16</v>
      </c>
      <c r="Q40" s="54">
        <f t="shared" si="4"/>
        <v>2</v>
      </c>
      <c r="S40" s="51">
        <v>15.1</v>
      </c>
      <c r="T40" s="52">
        <v>0.16</v>
      </c>
    </row>
    <row r="41" spans="1:20" s="30" customFormat="1" ht="13" x14ac:dyDescent="0.2">
      <c r="A41" s="41"/>
      <c r="B41" s="41">
        <f t="shared" si="5"/>
        <v>35</v>
      </c>
      <c r="C41" s="41"/>
      <c r="D41" s="41"/>
      <c r="E41" s="41"/>
      <c r="G41" s="49">
        <f t="shared" si="6"/>
        <v>35</v>
      </c>
      <c r="H41" s="50" t="s">
        <v>114</v>
      </c>
      <c r="I41" s="51">
        <v>17.649999999999999</v>
      </c>
      <c r="J41" s="51">
        <v>17.649999999999999</v>
      </c>
      <c r="K41" s="52">
        <v>0.187</v>
      </c>
      <c r="L41" s="26"/>
      <c r="M41" s="27">
        <f t="shared" si="0"/>
        <v>0.18748831517582484</v>
      </c>
      <c r="N41" s="27">
        <f t="shared" si="1"/>
        <v>0.1875</v>
      </c>
      <c r="O41" s="28">
        <f t="shared" si="2"/>
        <v>0.187</v>
      </c>
      <c r="P41" s="29">
        <f t="shared" si="3"/>
        <v>0.19</v>
      </c>
      <c r="Q41" s="54">
        <f t="shared" si="4"/>
        <v>2</v>
      </c>
      <c r="S41" s="51">
        <v>17.649999999999999</v>
      </c>
      <c r="T41" s="52">
        <v>0.187</v>
      </c>
    </row>
    <row r="42" spans="1:20" s="30" customFormat="1" ht="13" x14ac:dyDescent="0.2">
      <c r="A42" s="41"/>
      <c r="B42" s="41">
        <f t="shared" si="5"/>
        <v>36</v>
      </c>
      <c r="C42" s="41"/>
      <c r="D42" s="41"/>
      <c r="E42" s="41"/>
      <c r="G42" s="49">
        <f t="shared" si="6"/>
        <v>36</v>
      </c>
      <c r="H42" s="50" t="s">
        <v>115</v>
      </c>
      <c r="I42" s="51">
        <v>18.46</v>
      </c>
      <c r="J42" s="51">
        <v>18.46</v>
      </c>
      <c r="K42" s="52">
        <v>0.19600000000000001</v>
      </c>
      <c r="L42" s="26"/>
      <c r="M42" s="27">
        <f t="shared" si="0"/>
        <v>0.19609259479579191</v>
      </c>
      <c r="N42" s="27">
        <f t="shared" si="1"/>
        <v>0.1961</v>
      </c>
      <c r="O42" s="28">
        <f t="shared" si="2"/>
        <v>0.19600000000000001</v>
      </c>
      <c r="P42" s="29">
        <f t="shared" si="3"/>
        <v>0.2</v>
      </c>
      <c r="Q42" s="54">
        <f t="shared" si="4"/>
        <v>1</v>
      </c>
      <c r="S42" s="51">
        <v>18.46</v>
      </c>
      <c r="T42" s="52">
        <v>0.19600000000000001</v>
      </c>
    </row>
    <row r="43" spans="1:20" s="30" customFormat="1" ht="13" x14ac:dyDescent="0.2">
      <c r="A43" s="41"/>
      <c r="B43" s="41">
        <f t="shared" si="5"/>
        <v>37</v>
      </c>
      <c r="C43" s="41"/>
      <c r="D43" s="41"/>
      <c r="E43" s="41"/>
      <c r="G43" s="49">
        <f t="shared" si="6"/>
        <v>37</v>
      </c>
      <c r="H43" s="50" t="s">
        <v>116</v>
      </c>
      <c r="I43" s="51">
        <v>16.04</v>
      </c>
      <c r="J43" s="51">
        <v>16.04</v>
      </c>
      <c r="K43" s="52">
        <v>0.17</v>
      </c>
      <c r="L43" s="26"/>
      <c r="M43" s="27">
        <f t="shared" si="0"/>
        <v>0.1703859816102114</v>
      </c>
      <c r="N43" s="27">
        <f t="shared" si="1"/>
        <v>0.1704</v>
      </c>
      <c r="O43" s="28">
        <f t="shared" si="2"/>
        <v>0.17</v>
      </c>
      <c r="P43" s="29">
        <f t="shared" si="3"/>
        <v>0.17</v>
      </c>
      <c r="Q43" s="54">
        <f t="shared" si="4"/>
        <v>2</v>
      </c>
      <c r="S43" s="51">
        <v>16.04</v>
      </c>
      <c r="T43" s="52">
        <v>0.17</v>
      </c>
    </row>
    <row r="44" spans="1:20" s="30" customFormat="1" ht="13" x14ac:dyDescent="0.2">
      <c r="A44" s="41"/>
      <c r="B44" s="41">
        <f t="shared" si="5"/>
        <v>38</v>
      </c>
      <c r="C44" s="41"/>
      <c r="D44" s="41"/>
      <c r="E44" s="41"/>
      <c r="G44" s="49">
        <f t="shared" si="6"/>
        <v>38</v>
      </c>
      <c r="H44" s="50" t="s">
        <v>117</v>
      </c>
      <c r="I44" s="51">
        <v>13.5</v>
      </c>
      <c r="J44" s="51">
        <v>13.5</v>
      </c>
      <c r="K44" s="52">
        <v>0.14299999999999999</v>
      </c>
      <c r="L44" s="26"/>
      <c r="M44" s="27">
        <f t="shared" si="0"/>
        <v>0.1434046603327839</v>
      </c>
      <c r="N44" s="27">
        <f t="shared" si="1"/>
        <v>0.1434</v>
      </c>
      <c r="O44" s="28">
        <f t="shared" si="2"/>
        <v>0.14299999999999999</v>
      </c>
      <c r="P44" s="29">
        <f t="shared" si="3"/>
        <v>0.14000000000000001</v>
      </c>
      <c r="Q44" s="54">
        <f t="shared" si="4"/>
        <v>7</v>
      </c>
      <c r="S44" s="51">
        <v>13.5</v>
      </c>
      <c r="T44" s="52">
        <v>0.14299999999999999</v>
      </c>
    </row>
    <row r="45" spans="1:20" s="30" customFormat="1" ht="13" x14ac:dyDescent="0.2">
      <c r="A45" s="41"/>
      <c r="B45" s="41">
        <f t="shared" si="5"/>
        <v>39</v>
      </c>
      <c r="C45" s="41"/>
      <c r="D45" s="41"/>
      <c r="E45" s="41"/>
      <c r="G45" s="49">
        <f t="shared" si="6"/>
        <v>39</v>
      </c>
      <c r="H45" s="50" t="s">
        <v>118</v>
      </c>
      <c r="I45" s="51">
        <v>13.5</v>
      </c>
      <c r="J45" s="51">
        <v>13.5</v>
      </c>
      <c r="K45" s="52">
        <v>0.14299999999999999</v>
      </c>
      <c r="L45" s="26"/>
      <c r="M45" s="27">
        <f t="shared" si="0"/>
        <v>0.1434046603327839</v>
      </c>
      <c r="N45" s="27">
        <f t="shared" si="1"/>
        <v>0.1434</v>
      </c>
      <c r="O45" s="28">
        <f t="shared" si="2"/>
        <v>0.14299999999999999</v>
      </c>
      <c r="P45" s="29">
        <f t="shared" si="3"/>
        <v>0.14000000000000001</v>
      </c>
      <c r="Q45" s="54">
        <f t="shared" si="4"/>
        <v>7</v>
      </c>
      <c r="S45" s="51">
        <v>13.5</v>
      </c>
      <c r="T45" s="52">
        <v>0.14299999999999999</v>
      </c>
    </row>
    <row r="46" spans="1:20" s="30" customFormat="1" ht="13" x14ac:dyDescent="0.2">
      <c r="A46" s="41"/>
      <c r="B46" s="41">
        <f t="shared" si="5"/>
        <v>40</v>
      </c>
      <c r="C46" s="41"/>
      <c r="D46" s="41"/>
      <c r="E46" s="41"/>
      <c r="G46" s="49">
        <f t="shared" si="6"/>
        <v>40</v>
      </c>
      <c r="H46" s="50" t="s">
        <v>119</v>
      </c>
      <c r="I46" s="51">
        <v>13.5</v>
      </c>
      <c r="J46" s="51">
        <v>13.5</v>
      </c>
      <c r="K46" s="52">
        <v>0.14299999999999999</v>
      </c>
      <c r="L46" s="26"/>
      <c r="M46" s="27">
        <f t="shared" si="0"/>
        <v>0.1434046603327839</v>
      </c>
      <c r="N46" s="27">
        <f t="shared" si="1"/>
        <v>0.1434</v>
      </c>
      <c r="O46" s="28">
        <f t="shared" si="2"/>
        <v>0.14299999999999999</v>
      </c>
      <c r="P46" s="29">
        <f t="shared" si="3"/>
        <v>0.14000000000000001</v>
      </c>
      <c r="Q46" s="54">
        <f t="shared" si="4"/>
        <v>7</v>
      </c>
      <c r="S46" s="51">
        <v>13.5</v>
      </c>
      <c r="T46" s="52">
        <v>0.14299999999999999</v>
      </c>
    </row>
    <row r="47" spans="1:20" s="30" customFormat="1" ht="13" x14ac:dyDescent="0.2">
      <c r="A47" s="41"/>
      <c r="B47" s="41">
        <f t="shared" si="5"/>
        <v>41</v>
      </c>
      <c r="C47" s="41"/>
      <c r="D47" s="41"/>
      <c r="E47" s="41"/>
      <c r="G47" s="49">
        <f t="shared" si="6"/>
        <v>41</v>
      </c>
      <c r="H47" s="50" t="s">
        <v>120</v>
      </c>
      <c r="I47" s="51">
        <v>13.35</v>
      </c>
      <c r="J47" s="51">
        <v>13.35</v>
      </c>
      <c r="K47" s="52">
        <v>0.14199999999999999</v>
      </c>
      <c r="L47" s="26"/>
      <c r="M47" s="27">
        <f t="shared" si="0"/>
        <v>0.14181127521797518</v>
      </c>
      <c r="N47" s="27">
        <f t="shared" si="1"/>
        <v>0.14180000000000001</v>
      </c>
      <c r="O47" s="28">
        <f t="shared" si="2"/>
        <v>0.14199999999999999</v>
      </c>
      <c r="P47" s="29">
        <f t="shared" si="3"/>
        <v>0.14000000000000001</v>
      </c>
      <c r="Q47" s="54">
        <f t="shared" si="4"/>
        <v>3</v>
      </c>
      <c r="S47" s="51">
        <v>13.35</v>
      </c>
      <c r="T47" s="52">
        <v>0.14199999999999999</v>
      </c>
    </row>
    <row r="48" spans="1:20" s="30" customFormat="1" ht="13" x14ac:dyDescent="0.2">
      <c r="A48" s="41"/>
      <c r="B48" s="41">
        <f t="shared" si="5"/>
        <v>42</v>
      </c>
      <c r="C48" s="41"/>
      <c r="D48" s="41"/>
      <c r="E48" s="41"/>
      <c r="G48" s="49">
        <f t="shared" si="6"/>
        <v>42</v>
      </c>
      <c r="H48" s="50" t="s">
        <v>121</v>
      </c>
      <c r="I48" s="51">
        <v>12.75</v>
      </c>
      <c r="J48" s="51">
        <v>12.75</v>
      </c>
      <c r="K48" s="52">
        <v>0.13500000000000001</v>
      </c>
      <c r="L48" s="26"/>
      <c r="M48" s="27">
        <f t="shared" si="0"/>
        <v>0.13543773475874035</v>
      </c>
      <c r="N48" s="27">
        <f t="shared" si="1"/>
        <v>0.13539999999999999</v>
      </c>
      <c r="O48" s="28">
        <f t="shared" si="2"/>
        <v>0.13500000000000001</v>
      </c>
      <c r="P48" s="29">
        <f t="shared" si="3"/>
        <v>0.14000000000000001</v>
      </c>
      <c r="Q48" s="54">
        <f t="shared" si="4"/>
        <v>7</v>
      </c>
      <c r="S48" s="51">
        <v>12.75</v>
      </c>
      <c r="T48" s="52">
        <v>0.13500000000000001</v>
      </c>
    </row>
    <row r="49" spans="1:20" s="30" customFormat="1" ht="13" x14ac:dyDescent="0.2">
      <c r="A49" s="41"/>
      <c r="B49" s="41">
        <f t="shared" si="5"/>
        <v>43</v>
      </c>
      <c r="C49" s="41"/>
      <c r="D49" s="41"/>
      <c r="E49" s="41"/>
      <c r="G49" s="49">
        <f t="shared" si="6"/>
        <v>43</v>
      </c>
      <c r="H49" s="50" t="s">
        <v>122</v>
      </c>
      <c r="I49" s="51">
        <v>14.71</v>
      </c>
      <c r="J49" s="51">
        <v>14.71</v>
      </c>
      <c r="K49" s="52">
        <v>0.156</v>
      </c>
      <c r="L49" s="26"/>
      <c r="M49" s="27">
        <f t="shared" si="0"/>
        <v>0.15625796692557417</v>
      </c>
      <c r="N49" s="27">
        <f t="shared" si="1"/>
        <v>0.15629999999999999</v>
      </c>
      <c r="O49" s="28">
        <f t="shared" si="2"/>
        <v>0.156</v>
      </c>
      <c r="P49" s="29">
        <f t="shared" si="3"/>
        <v>0.16</v>
      </c>
      <c r="Q49" s="54">
        <f t="shared" si="4"/>
        <v>2</v>
      </c>
      <c r="S49" s="51">
        <v>14.71</v>
      </c>
      <c r="T49" s="52">
        <v>0.156</v>
      </c>
    </row>
    <row r="50" spans="1:20" s="30" customFormat="1" ht="13" x14ac:dyDescent="0.2">
      <c r="A50" s="41"/>
      <c r="B50" s="41">
        <f t="shared" si="5"/>
        <v>44</v>
      </c>
      <c r="C50" s="41"/>
      <c r="D50" s="41"/>
      <c r="E50" s="41"/>
      <c r="G50" s="49">
        <f t="shared" si="6"/>
        <v>44</v>
      </c>
      <c r="H50" s="50" t="s">
        <v>123</v>
      </c>
      <c r="I50" s="51">
        <v>14.45</v>
      </c>
      <c r="J50" s="51">
        <v>14.45</v>
      </c>
      <c r="K50" s="52">
        <v>0.153</v>
      </c>
      <c r="L50" s="26"/>
      <c r="M50" s="27">
        <f t="shared" si="0"/>
        <v>0.15349609939323908</v>
      </c>
      <c r="N50" s="27">
        <f t="shared" si="1"/>
        <v>0.1535</v>
      </c>
      <c r="O50" s="28">
        <f t="shared" si="2"/>
        <v>0.153</v>
      </c>
      <c r="P50" s="29">
        <f t="shared" si="3"/>
        <v>0.15</v>
      </c>
      <c r="Q50" s="54">
        <f t="shared" si="4"/>
        <v>3</v>
      </c>
      <c r="S50" s="51">
        <v>14.45</v>
      </c>
      <c r="T50" s="52">
        <v>0.153</v>
      </c>
    </row>
    <row r="51" spans="1:20" s="30" customFormat="1" ht="13" x14ac:dyDescent="0.2">
      <c r="A51" s="41"/>
      <c r="B51" s="41">
        <f t="shared" si="5"/>
        <v>45</v>
      </c>
      <c r="C51" s="41"/>
      <c r="D51" s="41"/>
      <c r="E51" s="41"/>
      <c r="G51" s="49">
        <f t="shared" si="6"/>
        <v>45</v>
      </c>
      <c r="H51" s="50" t="s">
        <v>124</v>
      </c>
      <c r="I51" s="51">
        <v>14.45</v>
      </c>
      <c r="J51" s="51">
        <v>14.45</v>
      </c>
      <c r="K51" s="52">
        <v>0.153</v>
      </c>
      <c r="L51" s="26"/>
      <c r="M51" s="27">
        <f t="shared" si="0"/>
        <v>0.15349609939323908</v>
      </c>
      <c r="N51" s="27">
        <f t="shared" si="1"/>
        <v>0.1535</v>
      </c>
      <c r="O51" s="28">
        <f t="shared" si="2"/>
        <v>0.153</v>
      </c>
      <c r="P51" s="29">
        <f t="shared" si="3"/>
        <v>0.15</v>
      </c>
      <c r="Q51" s="54">
        <f t="shared" si="4"/>
        <v>3</v>
      </c>
      <c r="S51" s="51">
        <v>14.45</v>
      </c>
      <c r="T51" s="52">
        <v>0.153</v>
      </c>
    </row>
    <row r="52" spans="1:20" s="30" customFormat="1" ht="13" x14ac:dyDescent="0.2">
      <c r="A52" s="41"/>
      <c r="B52" s="41">
        <f t="shared" si="5"/>
        <v>46</v>
      </c>
      <c r="C52" s="41"/>
      <c r="D52" s="41"/>
      <c r="E52" s="41"/>
      <c r="G52" s="49">
        <f t="shared" si="6"/>
        <v>46</v>
      </c>
      <c r="H52" s="50" t="s">
        <v>125</v>
      </c>
      <c r="I52" s="51">
        <v>14.45</v>
      </c>
      <c r="J52" s="51">
        <v>14.45</v>
      </c>
      <c r="K52" s="52">
        <v>0.153</v>
      </c>
      <c r="L52" s="26"/>
      <c r="M52" s="27">
        <f t="shared" si="0"/>
        <v>0.15349609939323908</v>
      </c>
      <c r="N52" s="27">
        <f t="shared" si="1"/>
        <v>0.1535</v>
      </c>
      <c r="O52" s="28">
        <f t="shared" si="2"/>
        <v>0.153</v>
      </c>
      <c r="P52" s="29">
        <f t="shared" si="3"/>
        <v>0.15</v>
      </c>
      <c r="Q52" s="54">
        <f t="shared" si="4"/>
        <v>3</v>
      </c>
      <c r="S52" s="51">
        <v>14.45</v>
      </c>
      <c r="T52" s="52">
        <v>0.153</v>
      </c>
    </row>
    <row r="53" spans="1:20" s="30" customFormat="1" ht="13" x14ac:dyDescent="0.2">
      <c r="A53" s="41"/>
      <c r="B53" s="41">
        <f t="shared" si="5"/>
        <v>47</v>
      </c>
      <c r="C53" s="41"/>
      <c r="D53" s="41"/>
      <c r="E53" s="41"/>
      <c r="G53" s="49">
        <f t="shared" si="6"/>
        <v>47</v>
      </c>
      <c r="H53" s="50" t="s">
        <v>126</v>
      </c>
      <c r="I53" s="51">
        <v>14.02</v>
      </c>
      <c r="J53" s="51">
        <v>14.02</v>
      </c>
      <c r="K53" s="52">
        <v>0.14899999999999999</v>
      </c>
      <c r="L53" s="26"/>
      <c r="M53" s="27">
        <f t="shared" si="0"/>
        <v>0.14892839539745409</v>
      </c>
      <c r="N53" s="27">
        <f t="shared" si="1"/>
        <v>0.1489</v>
      </c>
      <c r="O53" s="28">
        <f t="shared" si="2"/>
        <v>0.14899999999999999</v>
      </c>
      <c r="P53" s="29">
        <f t="shared" si="3"/>
        <v>0.15</v>
      </c>
      <c r="Q53" s="54">
        <f t="shared" si="4"/>
        <v>3</v>
      </c>
      <c r="S53" s="51">
        <v>14.02</v>
      </c>
      <c r="T53" s="52">
        <v>0.14899999999999999</v>
      </c>
    </row>
    <row r="54" spans="1:20" s="30" customFormat="1" ht="13" x14ac:dyDescent="0.2">
      <c r="A54" s="41"/>
      <c r="B54" s="41">
        <f t="shared" si="5"/>
        <v>48</v>
      </c>
      <c r="C54" s="41"/>
      <c r="D54" s="41"/>
      <c r="E54" s="41"/>
      <c r="G54" s="49">
        <f t="shared" si="6"/>
        <v>48</v>
      </c>
      <c r="H54" s="50" t="s">
        <v>127</v>
      </c>
      <c r="I54" s="51">
        <v>14.02</v>
      </c>
      <c r="J54" s="51">
        <v>14.02</v>
      </c>
      <c r="K54" s="52">
        <v>0.14899999999999999</v>
      </c>
      <c r="L54" s="26"/>
      <c r="M54" s="27">
        <f t="shared" si="0"/>
        <v>0.14892839539745409</v>
      </c>
      <c r="N54" s="27">
        <f t="shared" si="1"/>
        <v>0.1489</v>
      </c>
      <c r="O54" s="28">
        <f t="shared" si="2"/>
        <v>0.14899999999999999</v>
      </c>
      <c r="P54" s="29">
        <f t="shared" si="3"/>
        <v>0.15</v>
      </c>
      <c r="Q54" s="54">
        <f t="shared" si="4"/>
        <v>3</v>
      </c>
      <c r="S54" s="51">
        <v>14.02</v>
      </c>
      <c r="T54" s="52">
        <v>0.14899999999999999</v>
      </c>
    </row>
    <row r="55" spans="1:20" s="30" customFormat="1" ht="13" x14ac:dyDescent="0.2">
      <c r="A55" s="41"/>
      <c r="B55" s="41">
        <f t="shared" si="5"/>
        <v>49</v>
      </c>
      <c r="C55" s="41"/>
      <c r="D55" s="41"/>
      <c r="E55" s="41"/>
      <c r="G55" s="49">
        <f t="shared" si="6"/>
        <v>49</v>
      </c>
      <c r="H55" s="50" t="s">
        <v>128</v>
      </c>
      <c r="I55" s="51">
        <v>14.02</v>
      </c>
      <c r="J55" s="51">
        <v>14.02</v>
      </c>
      <c r="K55" s="52">
        <v>0.14899999999999999</v>
      </c>
      <c r="L55" s="26"/>
      <c r="M55" s="27">
        <f t="shared" si="0"/>
        <v>0.14892839539745409</v>
      </c>
      <c r="N55" s="27">
        <f t="shared" si="1"/>
        <v>0.1489</v>
      </c>
      <c r="O55" s="28">
        <f t="shared" si="2"/>
        <v>0.14899999999999999</v>
      </c>
      <c r="P55" s="29">
        <f t="shared" si="3"/>
        <v>0.15</v>
      </c>
      <c r="Q55" s="54">
        <f t="shared" si="4"/>
        <v>3</v>
      </c>
      <c r="S55" s="51">
        <v>14.02</v>
      </c>
      <c r="T55" s="52">
        <v>0.14899999999999999</v>
      </c>
    </row>
    <row r="56" spans="1:20" s="30" customFormat="1" ht="13" x14ac:dyDescent="0.2">
      <c r="A56" s="41"/>
      <c r="B56" s="41">
        <f t="shared" si="5"/>
        <v>50</v>
      </c>
      <c r="C56" s="41"/>
      <c r="D56" s="41"/>
      <c r="E56" s="41"/>
      <c r="G56" s="49">
        <f t="shared" si="6"/>
        <v>50</v>
      </c>
      <c r="H56" s="50" t="s">
        <v>129</v>
      </c>
      <c r="I56" s="51">
        <v>13.54</v>
      </c>
      <c r="J56" s="51">
        <v>13.54</v>
      </c>
      <c r="K56" s="52">
        <v>0.14399999999999999</v>
      </c>
      <c r="L56" s="26"/>
      <c r="M56" s="27">
        <f t="shared" si="0"/>
        <v>0.14382956303006622</v>
      </c>
      <c r="N56" s="27">
        <f t="shared" si="1"/>
        <v>0.14380000000000001</v>
      </c>
      <c r="O56" s="28">
        <f t="shared" si="2"/>
        <v>0.14399999999999999</v>
      </c>
      <c r="P56" s="29">
        <f t="shared" si="3"/>
        <v>0.14000000000000001</v>
      </c>
      <c r="Q56" s="54">
        <f t="shared" si="4"/>
        <v>3</v>
      </c>
      <c r="S56" s="51">
        <v>13.54</v>
      </c>
      <c r="T56" s="52">
        <v>0.14399999999999999</v>
      </c>
    </row>
    <row r="57" spans="1:20" s="30" customFormat="1" ht="13" x14ac:dyDescent="0.2">
      <c r="A57" s="41"/>
      <c r="B57" s="41">
        <f t="shared" si="5"/>
        <v>51</v>
      </c>
      <c r="C57" s="41"/>
      <c r="D57" s="41"/>
      <c r="E57" s="41"/>
      <c r="G57" s="49">
        <f t="shared" si="6"/>
        <v>51</v>
      </c>
      <c r="H57" s="50" t="s">
        <v>130</v>
      </c>
      <c r="I57" s="51">
        <v>13.54</v>
      </c>
      <c r="J57" s="51">
        <v>13.54</v>
      </c>
      <c r="K57" s="52">
        <v>0.14399999999999999</v>
      </c>
      <c r="L57" s="26"/>
      <c r="M57" s="27">
        <f t="shared" si="0"/>
        <v>0.14382956303006622</v>
      </c>
      <c r="N57" s="27">
        <f t="shared" si="1"/>
        <v>0.14380000000000001</v>
      </c>
      <c r="O57" s="28">
        <f t="shared" si="2"/>
        <v>0.14399999999999999</v>
      </c>
      <c r="P57" s="29">
        <f t="shared" si="3"/>
        <v>0.14000000000000001</v>
      </c>
      <c r="Q57" s="54">
        <f t="shared" si="4"/>
        <v>3</v>
      </c>
      <c r="S57" s="51">
        <v>13.54</v>
      </c>
      <c r="T57" s="52">
        <v>0.14399999999999999</v>
      </c>
    </row>
    <row r="58" spans="1:20" s="30" customFormat="1" ht="13" x14ac:dyDescent="0.2">
      <c r="A58" s="41"/>
      <c r="B58" s="41">
        <f t="shared" si="5"/>
        <v>52</v>
      </c>
      <c r="C58" s="41"/>
      <c r="D58" s="41"/>
      <c r="E58" s="41"/>
      <c r="G58" s="49">
        <f t="shared" si="6"/>
        <v>52</v>
      </c>
      <c r="H58" s="50" t="s">
        <v>131</v>
      </c>
      <c r="I58" s="51">
        <v>13.54</v>
      </c>
      <c r="J58" s="51">
        <v>13.54</v>
      </c>
      <c r="K58" s="52">
        <v>0.14399999999999999</v>
      </c>
      <c r="L58" s="26"/>
      <c r="M58" s="27">
        <f t="shared" si="0"/>
        <v>0.14382956303006622</v>
      </c>
      <c r="N58" s="27">
        <f t="shared" si="1"/>
        <v>0.14380000000000001</v>
      </c>
      <c r="O58" s="28">
        <f t="shared" si="2"/>
        <v>0.14399999999999999</v>
      </c>
      <c r="P58" s="29">
        <f t="shared" si="3"/>
        <v>0.14000000000000001</v>
      </c>
      <c r="Q58" s="54">
        <f t="shared" si="4"/>
        <v>3</v>
      </c>
      <c r="S58" s="51">
        <v>13.54</v>
      </c>
      <c r="T58" s="52">
        <v>0.14399999999999999</v>
      </c>
    </row>
    <row r="59" spans="1:20" s="30" customFormat="1" ht="13" x14ac:dyDescent="0.2">
      <c r="A59" s="41"/>
      <c r="B59" s="41">
        <f t="shared" si="5"/>
        <v>53</v>
      </c>
      <c r="C59" s="41"/>
      <c r="D59" s="41"/>
      <c r="E59" s="41"/>
      <c r="G59" s="49">
        <f t="shared" si="6"/>
        <v>53</v>
      </c>
      <c r="H59" s="50" t="s">
        <v>132</v>
      </c>
      <c r="I59" s="51">
        <v>16.05</v>
      </c>
      <c r="J59" s="51">
        <v>16.05</v>
      </c>
      <c r="K59" s="52">
        <v>0.17</v>
      </c>
      <c r="L59" s="26"/>
      <c r="M59" s="27">
        <f t="shared" si="0"/>
        <v>0.17049220728453196</v>
      </c>
      <c r="N59" s="27">
        <f t="shared" si="1"/>
        <v>0.17050000000000001</v>
      </c>
      <c r="O59" s="28">
        <f t="shared" si="2"/>
        <v>0.17</v>
      </c>
      <c r="P59" s="29">
        <f t="shared" si="3"/>
        <v>0.17</v>
      </c>
      <c r="Q59" s="54">
        <f t="shared" si="4"/>
        <v>2</v>
      </c>
      <c r="S59" s="51">
        <v>16.05</v>
      </c>
      <c r="T59" s="52">
        <v>0.17</v>
      </c>
    </row>
    <row r="60" spans="1:20" s="30" customFormat="1" ht="13" x14ac:dyDescent="0.2">
      <c r="A60" s="41"/>
      <c r="B60" s="41">
        <f t="shared" si="5"/>
        <v>54</v>
      </c>
      <c r="C60" s="41"/>
      <c r="D60" s="41"/>
      <c r="E60" s="41"/>
      <c r="G60" s="49">
        <f t="shared" si="6"/>
        <v>54</v>
      </c>
      <c r="H60" s="50" t="s">
        <v>133</v>
      </c>
      <c r="I60" s="51">
        <v>18.989999999999998</v>
      </c>
      <c r="J60" s="51">
        <v>18.989999999999998</v>
      </c>
      <c r="K60" s="52">
        <v>0.20200000000000001</v>
      </c>
      <c r="L60" s="26"/>
      <c r="M60" s="27">
        <f t="shared" si="0"/>
        <v>0.20172255553478266</v>
      </c>
      <c r="N60" s="27">
        <f t="shared" si="1"/>
        <v>0.20169999999999999</v>
      </c>
      <c r="O60" s="28">
        <f t="shared" si="2"/>
        <v>0.20200000000000001</v>
      </c>
      <c r="P60" s="29">
        <f t="shared" si="3"/>
        <v>0.2</v>
      </c>
      <c r="Q60" s="54">
        <f t="shared" si="4"/>
        <v>1</v>
      </c>
      <c r="S60" s="51">
        <v>18.989999999999998</v>
      </c>
      <c r="T60" s="52">
        <v>0.20200000000000001</v>
      </c>
    </row>
    <row r="61" spans="1:20" s="30" customFormat="1" ht="13" x14ac:dyDescent="0.2">
      <c r="A61" s="41"/>
      <c r="B61" s="41">
        <f t="shared" si="5"/>
        <v>55</v>
      </c>
      <c r="C61" s="41"/>
      <c r="D61" s="41"/>
      <c r="E61" s="41"/>
      <c r="G61" s="49">
        <f t="shared" si="6"/>
        <v>55</v>
      </c>
      <c r="H61" s="50" t="s">
        <v>134</v>
      </c>
      <c r="I61" s="51">
        <v>17.649999999999999</v>
      </c>
      <c r="J61" s="51">
        <v>17.649999999999999</v>
      </c>
      <c r="K61" s="52">
        <v>0.187</v>
      </c>
      <c r="L61" s="26"/>
      <c r="M61" s="27">
        <f t="shared" si="0"/>
        <v>0.18748831517582484</v>
      </c>
      <c r="N61" s="27">
        <f t="shared" si="1"/>
        <v>0.1875</v>
      </c>
      <c r="O61" s="28">
        <f t="shared" si="2"/>
        <v>0.187</v>
      </c>
      <c r="P61" s="29">
        <f t="shared" si="3"/>
        <v>0.19</v>
      </c>
      <c r="Q61" s="54">
        <f t="shared" si="4"/>
        <v>2</v>
      </c>
      <c r="S61" s="51">
        <v>17.649999999999999</v>
      </c>
      <c r="T61" s="52">
        <v>0.187</v>
      </c>
    </row>
    <row r="62" spans="1:20" s="30" customFormat="1" ht="13" x14ac:dyDescent="0.2">
      <c r="A62" s="41"/>
      <c r="B62" s="41">
        <f t="shared" si="5"/>
        <v>56</v>
      </c>
      <c r="C62" s="41"/>
      <c r="D62" s="41"/>
      <c r="E62" s="41"/>
      <c r="G62" s="49">
        <f t="shared" si="6"/>
        <v>56</v>
      </c>
      <c r="H62" s="50" t="s">
        <v>135</v>
      </c>
      <c r="I62" s="51">
        <v>15.1</v>
      </c>
      <c r="J62" s="51">
        <v>15.1</v>
      </c>
      <c r="K62" s="52">
        <v>0.16</v>
      </c>
      <c r="L62" s="26"/>
      <c r="M62" s="27">
        <f t="shared" si="0"/>
        <v>0.16040076822407681</v>
      </c>
      <c r="N62" s="27">
        <f t="shared" si="1"/>
        <v>0.16039999999999999</v>
      </c>
      <c r="O62" s="28">
        <f t="shared" si="2"/>
        <v>0.16</v>
      </c>
      <c r="P62" s="29">
        <f t="shared" si="3"/>
        <v>0.16</v>
      </c>
      <c r="Q62" s="54">
        <f t="shared" si="4"/>
        <v>2</v>
      </c>
      <c r="S62" s="51">
        <v>15.1</v>
      </c>
      <c r="T62" s="52">
        <v>0.16</v>
      </c>
    </row>
    <row r="63" spans="1:20" s="30" customFormat="1" ht="13" x14ac:dyDescent="0.2">
      <c r="A63" s="41"/>
      <c r="B63" s="41">
        <f t="shared" si="5"/>
        <v>57</v>
      </c>
      <c r="C63" s="41"/>
      <c r="D63" s="41"/>
      <c r="E63" s="41"/>
      <c r="G63" s="49">
        <f t="shared" si="6"/>
        <v>57</v>
      </c>
      <c r="H63" s="50" t="s">
        <v>136</v>
      </c>
      <c r="I63" s="51">
        <v>12.65</v>
      </c>
      <c r="J63" s="51">
        <v>12.65</v>
      </c>
      <c r="K63" s="52">
        <v>0.13400000000000001</v>
      </c>
      <c r="L63" s="26"/>
      <c r="M63" s="27">
        <f t="shared" si="0"/>
        <v>0.13437547801553454</v>
      </c>
      <c r="N63" s="27">
        <f t="shared" si="1"/>
        <v>0.13439999999999999</v>
      </c>
      <c r="O63" s="28">
        <f t="shared" si="2"/>
        <v>0.13400000000000001</v>
      </c>
      <c r="P63" s="29">
        <f t="shared" si="3"/>
        <v>0.13</v>
      </c>
      <c r="Q63" s="54">
        <f t="shared" si="4"/>
        <v>6</v>
      </c>
      <c r="S63" s="51">
        <v>12.65</v>
      </c>
      <c r="T63" s="52">
        <v>0.13400000000000001</v>
      </c>
    </row>
    <row r="64" spans="1:20" s="30" customFormat="1" ht="13" x14ac:dyDescent="0.2">
      <c r="A64" s="41"/>
      <c r="B64" s="41">
        <f t="shared" si="5"/>
        <v>58</v>
      </c>
      <c r="C64" s="41"/>
      <c r="D64" s="41"/>
      <c r="E64" s="41"/>
      <c r="G64" s="49">
        <f t="shared" si="6"/>
        <v>58</v>
      </c>
      <c r="H64" s="50" t="s">
        <v>137</v>
      </c>
      <c r="I64" s="51">
        <v>12.65</v>
      </c>
      <c r="J64" s="51">
        <v>12.65</v>
      </c>
      <c r="K64" s="52">
        <v>0.13400000000000001</v>
      </c>
      <c r="L64" s="26"/>
      <c r="M64" s="27">
        <f t="shared" si="0"/>
        <v>0.13437547801553454</v>
      </c>
      <c r="N64" s="27">
        <f t="shared" si="1"/>
        <v>0.13439999999999999</v>
      </c>
      <c r="O64" s="28">
        <f t="shared" si="2"/>
        <v>0.13400000000000001</v>
      </c>
      <c r="P64" s="29">
        <f t="shared" si="3"/>
        <v>0.13</v>
      </c>
      <c r="Q64" s="54">
        <f t="shared" si="4"/>
        <v>6</v>
      </c>
      <c r="S64" s="51">
        <v>12.65</v>
      </c>
      <c r="T64" s="52">
        <v>0.13400000000000001</v>
      </c>
    </row>
    <row r="65" spans="1:20" s="30" customFormat="1" ht="13" x14ac:dyDescent="0.2">
      <c r="A65" s="41"/>
      <c r="B65" s="41">
        <f t="shared" si="5"/>
        <v>59</v>
      </c>
      <c r="C65" s="41"/>
      <c r="D65" s="41"/>
      <c r="E65" s="41"/>
      <c r="G65" s="49">
        <f t="shared" si="6"/>
        <v>59</v>
      </c>
      <c r="H65" s="50" t="s">
        <v>138</v>
      </c>
      <c r="I65" s="51">
        <v>12.65</v>
      </c>
      <c r="J65" s="51">
        <v>12.65</v>
      </c>
      <c r="K65" s="52">
        <v>0.13400000000000001</v>
      </c>
      <c r="L65" s="26"/>
      <c r="M65" s="27">
        <f t="shared" si="0"/>
        <v>0.13437547801553454</v>
      </c>
      <c r="N65" s="27">
        <f t="shared" si="1"/>
        <v>0.13439999999999999</v>
      </c>
      <c r="O65" s="28">
        <f t="shared" si="2"/>
        <v>0.13400000000000001</v>
      </c>
      <c r="P65" s="29">
        <f t="shared" si="3"/>
        <v>0.13</v>
      </c>
      <c r="Q65" s="54">
        <f t="shared" si="4"/>
        <v>6</v>
      </c>
      <c r="S65" s="51">
        <v>12.65</v>
      </c>
      <c r="T65" s="52">
        <v>0.13400000000000001</v>
      </c>
    </row>
    <row r="66" spans="1:20" s="30" customFormat="1" ht="13" x14ac:dyDescent="0.2">
      <c r="A66" s="41"/>
      <c r="B66" s="41">
        <f t="shared" si="5"/>
        <v>60</v>
      </c>
      <c r="C66" s="41"/>
      <c r="D66" s="41"/>
      <c r="E66" s="41"/>
      <c r="G66" s="49">
        <f t="shared" si="6"/>
        <v>60</v>
      </c>
      <c r="H66" s="50" t="s">
        <v>139</v>
      </c>
      <c r="I66" s="51">
        <v>12.5</v>
      </c>
      <c r="J66" s="51">
        <v>12.5</v>
      </c>
      <c r="K66" s="52">
        <v>0.13300000000000001</v>
      </c>
      <c r="L66" s="26"/>
      <c r="M66" s="27">
        <f t="shared" si="0"/>
        <v>0.13278209290072585</v>
      </c>
      <c r="N66" s="27">
        <f t="shared" si="1"/>
        <v>0.1328</v>
      </c>
      <c r="O66" s="28">
        <f t="shared" si="2"/>
        <v>0.13300000000000001</v>
      </c>
      <c r="P66" s="29">
        <f t="shared" si="3"/>
        <v>0.13</v>
      </c>
      <c r="Q66" s="54">
        <f t="shared" si="4"/>
        <v>4</v>
      </c>
      <c r="S66" s="51">
        <v>12.5</v>
      </c>
      <c r="T66" s="52">
        <v>0.13300000000000001</v>
      </c>
    </row>
    <row r="67" spans="1:20" s="30" customFormat="1" ht="13" x14ac:dyDescent="0.2">
      <c r="A67" s="41"/>
      <c r="B67" s="41">
        <f t="shared" si="5"/>
        <v>61</v>
      </c>
      <c r="C67" s="41"/>
      <c r="D67" s="41"/>
      <c r="E67" s="41"/>
      <c r="G67" s="49">
        <f t="shared" si="6"/>
        <v>61</v>
      </c>
      <c r="H67" s="50" t="s">
        <v>140</v>
      </c>
      <c r="I67" s="51">
        <v>12.5</v>
      </c>
      <c r="J67" s="51">
        <v>12.5</v>
      </c>
      <c r="K67" s="52">
        <v>0.13300000000000001</v>
      </c>
      <c r="L67" s="26"/>
      <c r="M67" s="27">
        <f t="shared" si="0"/>
        <v>0.13278209290072585</v>
      </c>
      <c r="N67" s="27">
        <f t="shared" si="1"/>
        <v>0.1328</v>
      </c>
      <c r="O67" s="28">
        <f t="shared" si="2"/>
        <v>0.13300000000000001</v>
      </c>
      <c r="P67" s="29">
        <f t="shared" si="3"/>
        <v>0.13</v>
      </c>
      <c r="Q67" s="54">
        <f t="shared" si="4"/>
        <v>4</v>
      </c>
      <c r="S67" s="51">
        <v>12.5</v>
      </c>
      <c r="T67" s="52">
        <v>0.13300000000000001</v>
      </c>
    </row>
    <row r="68" spans="1:20" s="30" customFormat="1" ht="13" x14ac:dyDescent="0.2">
      <c r="A68" s="41"/>
      <c r="C68" s="41"/>
      <c r="D68" s="41">
        <v>1</v>
      </c>
      <c r="E68" s="41"/>
      <c r="G68" s="49">
        <f t="shared" si="6"/>
        <v>62</v>
      </c>
      <c r="H68" s="50" t="s">
        <v>141</v>
      </c>
      <c r="I68" s="51">
        <v>3.65</v>
      </c>
      <c r="J68" s="51">
        <v>3.65</v>
      </c>
      <c r="K68" s="52">
        <v>3.9E-2</v>
      </c>
      <c r="L68" s="26"/>
      <c r="M68" s="27">
        <f t="shared" si="0"/>
        <v>3.8772371127011943E-2</v>
      </c>
      <c r="N68" s="27">
        <f t="shared" si="1"/>
        <v>3.8800000000000001E-2</v>
      </c>
      <c r="O68" s="28">
        <f t="shared" si="2"/>
        <v>3.9E-2</v>
      </c>
      <c r="P68" s="29">
        <f t="shared" si="3"/>
        <v>0.04</v>
      </c>
      <c r="Q68" s="54">
        <f t="shared" si="4"/>
        <v>1</v>
      </c>
      <c r="S68" s="51">
        <v>3.65</v>
      </c>
      <c r="T68" s="52">
        <v>3.9E-2</v>
      </c>
    </row>
    <row r="69" spans="1:20" s="30" customFormat="1" ht="13" x14ac:dyDescent="0.2">
      <c r="A69" s="41"/>
      <c r="C69" s="41"/>
      <c r="D69" s="41">
        <f>+D68+1</f>
        <v>2</v>
      </c>
      <c r="E69" s="41"/>
      <c r="G69" s="49">
        <f t="shared" si="6"/>
        <v>63</v>
      </c>
      <c r="H69" s="50" t="s">
        <v>142</v>
      </c>
      <c r="I69" s="51">
        <v>3.6</v>
      </c>
      <c r="J69" s="51">
        <v>3.6</v>
      </c>
      <c r="K69" s="52">
        <v>3.7999999999999999E-2</v>
      </c>
      <c r="L69" s="26"/>
      <c r="M69" s="27">
        <f t="shared" si="0"/>
        <v>3.8241242755409043E-2</v>
      </c>
      <c r="N69" s="27">
        <f t="shared" si="1"/>
        <v>3.8199999999999998E-2</v>
      </c>
      <c r="O69" s="28">
        <f t="shared" si="2"/>
        <v>3.7999999999999999E-2</v>
      </c>
      <c r="P69" s="29">
        <f t="shared" si="3"/>
        <v>0.04</v>
      </c>
      <c r="Q69" s="54">
        <f t="shared" si="4"/>
        <v>3</v>
      </c>
      <c r="S69" s="51">
        <v>3.6</v>
      </c>
      <c r="T69" s="52">
        <v>3.7999999999999999E-2</v>
      </c>
    </row>
    <row r="70" spans="1:20" s="30" customFormat="1" ht="13" x14ac:dyDescent="0.2">
      <c r="A70" s="41"/>
      <c r="C70" s="41"/>
      <c r="D70" s="41">
        <f t="shared" ref="D70:D72" si="7">+D69+1</f>
        <v>3</v>
      </c>
      <c r="E70" s="41"/>
      <c r="G70" s="49">
        <f t="shared" si="6"/>
        <v>64</v>
      </c>
      <c r="H70" s="50" t="s">
        <v>143</v>
      </c>
      <c r="I70" s="51">
        <v>3.58</v>
      </c>
      <c r="J70" s="51">
        <v>3.58</v>
      </c>
      <c r="K70" s="52">
        <v>3.7999999999999999E-2</v>
      </c>
      <c r="L70" s="26"/>
      <c r="M70" s="27">
        <f t="shared" si="0"/>
        <v>3.8028791406767883E-2</v>
      </c>
      <c r="N70" s="27">
        <f t="shared" si="1"/>
        <v>3.7999999999999999E-2</v>
      </c>
      <c r="O70" s="28">
        <f t="shared" si="2"/>
        <v>3.7999999999999999E-2</v>
      </c>
      <c r="P70" s="29">
        <f t="shared" si="3"/>
        <v>0.04</v>
      </c>
      <c r="Q70" s="54">
        <f t="shared" si="4"/>
        <v>3</v>
      </c>
      <c r="S70" s="51">
        <v>3.58</v>
      </c>
      <c r="T70" s="52">
        <v>3.7999999999999999E-2</v>
      </c>
    </row>
    <row r="71" spans="1:20" s="30" customFormat="1" ht="13" x14ac:dyDescent="0.2">
      <c r="A71" s="41"/>
      <c r="B71" s="41"/>
      <c r="C71" s="41"/>
      <c r="D71" s="41">
        <f t="shared" si="7"/>
        <v>4</v>
      </c>
      <c r="E71" s="41"/>
      <c r="G71" s="49">
        <f t="shared" si="6"/>
        <v>65</v>
      </c>
      <c r="H71" s="50" t="s">
        <v>144</v>
      </c>
      <c r="I71" s="51">
        <v>3.55</v>
      </c>
      <c r="J71" s="51">
        <v>3.55</v>
      </c>
      <c r="K71" s="52">
        <v>3.7999999999999999E-2</v>
      </c>
      <c r="L71" s="26"/>
      <c r="M71" s="27">
        <f t="shared" si="0"/>
        <v>3.7710114383806136E-2</v>
      </c>
      <c r="N71" s="27">
        <f t="shared" si="1"/>
        <v>3.7699999999999997E-2</v>
      </c>
      <c r="O71" s="28">
        <f t="shared" si="2"/>
        <v>3.7999999999999999E-2</v>
      </c>
      <c r="P71" s="29">
        <f t="shared" si="3"/>
        <v>0.04</v>
      </c>
      <c r="Q71" s="54">
        <f t="shared" si="4"/>
        <v>3</v>
      </c>
      <c r="S71" s="51">
        <v>3.55</v>
      </c>
      <c r="T71" s="52">
        <v>3.7999999999999999E-2</v>
      </c>
    </row>
    <row r="72" spans="1:20" s="30" customFormat="1" ht="13" x14ac:dyDescent="0.2">
      <c r="A72" s="41"/>
      <c r="B72" s="41"/>
      <c r="C72" s="41"/>
      <c r="D72" s="41">
        <f t="shared" si="7"/>
        <v>5</v>
      </c>
      <c r="E72" s="41"/>
      <c r="G72" s="49">
        <f t="shared" si="6"/>
        <v>66</v>
      </c>
      <c r="H72" s="50" t="s">
        <v>145</v>
      </c>
      <c r="I72" s="51">
        <v>4.5599999999999996</v>
      </c>
      <c r="J72" s="51">
        <v>4.5599999999999996</v>
      </c>
      <c r="K72" s="52">
        <v>4.8000000000000001E-2</v>
      </c>
      <c r="L72" s="26"/>
      <c r="M72" s="27">
        <f t="shared" ref="M72:M135" si="8">+I72*100/$I$253</f>
        <v>4.8438907490184778E-2</v>
      </c>
      <c r="N72" s="27">
        <f t="shared" ref="N72:N135" si="9">+ROUND(M72,4)</f>
        <v>4.8399999999999999E-2</v>
      </c>
      <c r="O72" s="28">
        <f t="shared" ref="O72:O135" si="10">+ROUND(M72,3)</f>
        <v>4.8000000000000001E-2</v>
      </c>
      <c r="P72" s="29">
        <f t="shared" ref="P72:P135" si="11">+ROUND(M72,2)</f>
        <v>0.05</v>
      </c>
      <c r="Q72" s="54">
        <f t="shared" ref="Q72:Q135" si="12">+COUNTIF($O$7:$O$252,O72)</f>
        <v>1</v>
      </c>
      <c r="S72" s="51">
        <v>4.5599999999999996</v>
      </c>
      <c r="T72" s="52">
        <v>4.8000000000000001E-2</v>
      </c>
    </row>
    <row r="73" spans="1:20" s="30" customFormat="1" ht="13" x14ac:dyDescent="0.2">
      <c r="A73" s="41"/>
      <c r="B73" s="41"/>
      <c r="C73" s="41"/>
      <c r="D73" s="41"/>
      <c r="E73" s="41"/>
      <c r="F73" s="41"/>
      <c r="G73" s="42" t="s">
        <v>74</v>
      </c>
      <c r="H73" s="55" t="s">
        <v>146</v>
      </c>
      <c r="I73" s="56"/>
      <c r="J73" s="57"/>
      <c r="K73" s="45"/>
      <c r="L73" s="26"/>
      <c r="M73" s="27"/>
      <c r="N73" s="27"/>
      <c r="O73" s="28"/>
      <c r="P73" s="29"/>
      <c r="Q73" s="54">
        <f t="shared" si="12"/>
        <v>0</v>
      </c>
      <c r="S73" s="29">
        <f>SUM(S7:S72)</f>
        <v>901.38999999999965</v>
      </c>
      <c r="T73" s="28">
        <f>SUM(T7:T72)</f>
        <v>9.5749999999999993</v>
      </c>
    </row>
    <row r="74" spans="1:20" s="30" customFormat="1" x14ac:dyDescent="0.2">
      <c r="A74" s="41"/>
      <c r="B74" s="41"/>
      <c r="C74" s="41"/>
      <c r="D74" s="41"/>
      <c r="E74" s="41"/>
      <c r="F74" s="41"/>
      <c r="G74" s="46"/>
      <c r="H74" s="46" t="s">
        <v>76</v>
      </c>
      <c r="I74" s="47" t="s">
        <v>77</v>
      </c>
      <c r="J74" s="47" t="s">
        <v>78</v>
      </c>
      <c r="K74" s="48" t="s">
        <v>79</v>
      </c>
      <c r="L74" s="26"/>
      <c r="M74" s="27"/>
      <c r="N74" s="27"/>
      <c r="O74" s="28"/>
      <c r="P74" s="29"/>
      <c r="Q74" s="54">
        <f t="shared" si="12"/>
        <v>0</v>
      </c>
    </row>
    <row r="75" spans="1:20" s="30" customFormat="1" ht="13" x14ac:dyDescent="0.2">
      <c r="A75" s="41"/>
      <c r="B75" s="41"/>
      <c r="C75" s="41"/>
      <c r="D75" s="41"/>
      <c r="E75" s="41"/>
      <c r="F75" s="41">
        <v>1</v>
      </c>
      <c r="G75" s="49">
        <f>+G72+1</f>
        <v>67</v>
      </c>
      <c r="H75" s="50" t="s">
        <v>147</v>
      </c>
      <c r="I75" s="51">
        <v>55.56</v>
      </c>
      <c r="J75" s="51">
        <v>55.56</v>
      </c>
      <c r="K75" s="52">
        <v>0.59</v>
      </c>
      <c r="L75" s="26"/>
      <c r="M75" s="27">
        <f t="shared" si="8"/>
        <v>0.59018984652514617</v>
      </c>
      <c r="N75" s="27">
        <f t="shared" si="9"/>
        <v>0.59019999999999995</v>
      </c>
      <c r="O75" s="28">
        <f t="shared" si="10"/>
        <v>0.59</v>
      </c>
      <c r="P75" s="29">
        <f t="shared" si="11"/>
        <v>0.59</v>
      </c>
      <c r="Q75" s="54">
        <f t="shared" si="12"/>
        <v>18</v>
      </c>
      <c r="S75" s="48"/>
    </row>
    <row r="76" spans="1:20" s="30" customFormat="1" ht="13" x14ac:dyDescent="0.2">
      <c r="A76" s="41"/>
      <c r="B76" s="41"/>
      <c r="C76" s="41"/>
      <c r="D76" s="41"/>
      <c r="E76" s="41"/>
      <c r="F76" s="41">
        <f>+F75+1</f>
        <v>2</v>
      </c>
      <c r="G76" s="49">
        <f t="shared" ref="G76:G82" si="13">+G75+1</f>
        <v>68</v>
      </c>
      <c r="H76" s="50" t="s">
        <v>148</v>
      </c>
      <c r="I76" s="51">
        <v>66.040000000000006</v>
      </c>
      <c r="J76" s="51">
        <v>66.040000000000006</v>
      </c>
      <c r="K76" s="52">
        <v>0.70199999999999996</v>
      </c>
      <c r="L76" s="26"/>
      <c r="M76" s="27">
        <f t="shared" si="8"/>
        <v>0.70151435321311484</v>
      </c>
      <c r="N76" s="27">
        <f t="shared" si="9"/>
        <v>0.70150000000000001</v>
      </c>
      <c r="O76" s="28">
        <f t="shared" si="10"/>
        <v>0.70199999999999996</v>
      </c>
      <c r="P76" s="29">
        <f t="shared" si="11"/>
        <v>0.7</v>
      </c>
      <c r="Q76" s="54">
        <f t="shared" si="12"/>
        <v>1</v>
      </c>
      <c r="S76" s="52">
        <v>0.59</v>
      </c>
      <c r="T76" s="52">
        <v>0.59</v>
      </c>
    </row>
    <row r="77" spans="1:20" s="30" customFormat="1" ht="13" x14ac:dyDescent="0.2">
      <c r="A77" s="41"/>
      <c r="B77" s="41"/>
      <c r="C77" s="41"/>
      <c r="D77" s="41"/>
      <c r="E77" s="41"/>
      <c r="F77" s="41">
        <f t="shared" ref="F77:F82" si="14">+F76+1</f>
        <v>3</v>
      </c>
      <c r="G77" s="49">
        <f t="shared" si="13"/>
        <v>69</v>
      </c>
      <c r="H77" s="50" t="s">
        <v>149</v>
      </c>
      <c r="I77" s="51">
        <v>66.28</v>
      </c>
      <c r="J77" s="51">
        <v>66.28</v>
      </c>
      <c r="K77" s="52">
        <v>0.70399999999999996</v>
      </c>
      <c r="L77" s="26"/>
      <c r="M77" s="27">
        <f t="shared" si="8"/>
        <v>0.7040637693968087</v>
      </c>
      <c r="N77" s="27">
        <f t="shared" si="9"/>
        <v>0.70409999999999995</v>
      </c>
      <c r="O77" s="28">
        <f t="shared" si="10"/>
        <v>0.70399999999999996</v>
      </c>
      <c r="P77" s="29">
        <f t="shared" si="11"/>
        <v>0.7</v>
      </c>
      <c r="Q77" s="54">
        <f t="shared" si="12"/>
        <v>1</v>
      </c>
      <c r="S77" s="52">
        <v>0.70199999999999996</v>
      </c>
      <c r="T77" s="52">
        <v>0.70199999999999996</v>
      </c>
    </row>
    <row r="78" spans="1:20" s="30" customFormat="1" ht="13" x14ac:dyDescent="0.2">
      <c r="A78" s="41"/>
      <c r="B78" s="41"/>
      <c r="C78" s="41"/>
      <c r="D78" s="41"/>
      <c r="E78" s="41"/>
      <c r="F78" s="41">
        <f t="shared" si="14"/>
        <v>4</v>
      </c>
      <c r="G78" s="49">
        <f t="shared" si="13"/>
        <v>70</v>
      </c>
      <c r="H78" s="50" t="s">
        <v>150</v>
      </c>
      <c r="I78" s="51">
        <v>59.88</v>
      </c>
      <c r="J78" s="51">
        <v>59.88</v>
      </c>
      <c r="K78" s="52">
        <v>0.63600000000000001</v>
      </c>
      <c r="L78" s="26"/>
      <c r="M78" s="27">
        <f t="shared" si="8"/>
        <v>0.63607933783163706</v>
      </c>
      <c r="N78" s="27">
        <f t="shared" si="9"/>
        <v>0.6361</v>
      </c>
      <c r="O78" s="28">
        <f t="shared" si="10"/>
        <v>0.63600000000000001</v>
      </c>
      <c r="P78" s="29">
        <f t="shared" si="11"/>
        <v>0.64</v>
      </c>
      <c r="Q78" s="54">
        <f t="shared" si="12"/>
        <v>1</v>
      </c>
      <c r="S78" s="52">
        <v>0.70399999999999996</v>
      </c>
      <c r="T78" s="52">
        <v>0.70399999999999996</v>
      </c>
    </row>
    <row r="79" spans="1:20" s="30" customFormat="1" ht="13" x14ac:dyDescent="0.2">
      <c r="A79" s="41"/>
      <c r="B79" s="41"/>
      <c r="C79" s="41"/>
      <c r="D79" s="41"/>
      <c r="E79" s="41"/>
      <c r="F79" s="41">
        <f t="shared" si="14"/>
        <v>5</v>
      </c>
      <c r="G79" s="49">
        <f t="shared" si="13"/>
        <v>71</v>
      </c>
      <c r="H79" s="50" t="s">
        <v>151</v>
      </c>
      <c r="I79" s="51">
        <v>72.52</v>
      </c>
      <c r="J79" s="51">
        <v>72.52</v>
      </c>
      <c r="K79" s="52">
        <v>0.77</v>
      </c>
      <c r="L79" s="26"/>
      <c r="M79" s="27">
        <f t="shared" si="8"/>
        <v>0.77034859017285096</v>
      </c>
      <c r="N79" s="27">
        <f t="shared" si="9"/>
        <v>0.77029999999999998</v>
      </c>
      <c r="O79" s="28">
        <f t="shared" si="10"/>
        <v>0.77</v>
      </c>
      <c r="P79" s="29">
        <f t="shared" si="11"/>
        <v>0.77</v>
      </c>
      <c r="Q79" s="54">
        <f t="shared" si="12"/>
        <v>1</v>
      </c>
      <c r="S79" s="52">
        <v>0.63600000000000001</v>
      </c>
      <c r="T79" s="52">
        <v>0.63600000000000001</v>
      </c>
    </row>
    <row r="80" spans="1:20" s="30" customFormat="1" ht="13" x14ac:dyDescent="0.2">
      <c r="A80" s="41"/>
      <c r="B80" s="41"/>
      <c r="C80" s="41"/>
      <c r="D80" s="41"/>
      <c r="E80" s="41"/>
      <c r="F80" s="41">
        <f t="shared" si="14"/>
        <v>6</v>
      </c>
      <c r="G80" s="49">
        <f t="shared" si="13"/>
        <v>72</v>
      </c>
      <c r="H80" s="50" t="s">
        <v>152</v>
      </c>
      <c r="I80" s="51">
        <v>59.72</v>
      </c>
      <c r="J80" s="51">
        <v>59.72</v>
      </c>
      <c r="K80" s="52">
        <v>0.63400000000000001</v>
      </c>
      <c r="L80" s="26"/>
      <c r="M80" s="27">
        <f t="shared" si="8"/>
        <v>0.63437972704250778</v>
      </c>
      <c r="N80" s="27">
        <f t="shared" si="9"/>
        <v>0.63439999999999996</v>
      </c>
      <c r="O80" s="28">
        <f t="shared" si="10"/>
        <v>0.63400000000000001</v>
      </c>
      <c r="P80" s="29">
        <f t="shared" si="11"/>
        <v>0.63</v>
      </c>
      <c r="Q80" s="54">
        <f t="shared" si="12"/>
        <v>1</v>
      </c>
      <c r="S80" s="52">
        <v>0.77</v>
      </c>
      <c r="T80" s="52">
        <v>0.77</v>
      </c>
    </row>
    <row r="81" spans="1:20" s="30" customFormat="1" ht="13" x14ac:dyDescent="0.2">
      <c r="A81" s="41"/>
      <c r="B81" s="41"/>
      <c r="C81" s="41"/>
      <c r="D81" s="41"/>
      <c r="E81" s="41"/>
      <c r="F81" s="41">
        <f t="shared" si="14"/>
        <v>7</v>
      </c>
      <c r="G81" s="49">
        <f t="shared" si="13"/>
        <v>73</v>
      </c>
      <c r="H81" s="50" t="s">
        <v>153</v>
      </c>
      <c r="I81" s="51">
        <v>59.52</v>
      </c>
      <c r="J81" s="51">
        <v>59.52</v>
      </c>
      <c r="K81" s="52">
        <v>0.63200000000000001</v>
      </c>
      <c r="L81" s="26"/>
      <c r="M81" s="27">
        <f t="shared" si="8"/>
        <v>0.63225521355609615</v>
      </c>
      <c r="N81" s="27">
        <f t="shared" si="9"/>
        <v>0.63229999999999997</v>
      </c>
      <c r="O81" s="28">
        <f t="shared" si="10"/>
        <v>0.63200000000000001</v>
      </c>
      <c r="P81" s="29">
        <f t="shared" si="11"/>
        <v>0.63</v>
      </c>
      <c r="Q81" s="54">
        <f t="shared" si="12"/>
        <v>1</v>
      </c>
      <c r="S81" s="52">
        <v>0.63400000000000001</v>
      </c>
      <c r="T81" s="52">
        <v>0.63400000000000001</v>
      </c>
    </row>
    <row r="82" spans="1:20" s="30" customFormat="1" ht="13" x14ac:dyDescent="0.2">
      <c r="A82" s="41"/>
      <c r="B82" s="41"/>
      <c r="C82" s="41"/>
      <c r="D82" s="41"/>
      <c r="E82" s="41"/>
      <c r="F82" s="41">
        <f t="shared" si="14"/>
        <v>8</v>
      </c>
      <c r="G82" s="49">
        <f t="shared" si="13"/>
        <v>74</v>
      </c>
      <c r="H82" s="50" t="s">
        <v>154</v>
      </c>
      <c r="I82" s="51">
        <v>55.3</v>
      </c>
      <c r="J82" s="51">
        <v>55.3</v>
      </c>
      <c r="K82" s="52">
        <v>0.58699999999999997</v>
      </c>
      <c r="L82" s="26"/>
      <c r="M82" s="27">
        <f t="shared" si="8"/>
        <v>0.58742797899281107</v>
      </c>
      <c r="N82" s="27">
        <f t="shared" si="9"/>
        <v>0.58740000000000003</v>
      </c>
      <c r="O82" s="28">
        <f t="shared" si="10"/>
        <v>0.58699999999999997</v>
      </c>
      <c r="P82" s="29">
        <f t="shared" si="11"/>
        <v>0.59</v>
      </c>
      <c r="Q82" s="54">
        <f t="shared" si="12"/>
        <v>1</v>
      </c>
      <c r="S82" s="52">
        <v>0.63200000000000001</v>
      </c>
      <c r="T82" s="52">
        <v>0.63200000000000001</v>
      </c>
    </row>
    <row r="83" spans="1:20" s="30" customFormat="1" ht="13" x14ac:dyDescent="0.2">
      <c r="A83" s="41"/>
      <c r="B83" s="41"/>
      <c r="C83" s="41"/>
      <c r="D83" s="41"/>
      <c r="E83" s="41"/>
      <c r="F83" s="41"/>
      <c r="G83" s="42" t="s">
        <v>74</v>
      </c>
      <c r="H83" s="42" t="s">
        <v>155</v>
      </c>
      <c r="I83" s="56"/>
      <c r="J83" s="57"/>
      <c r="K83" s="45"/>
      <c r="L83" s="26"/>
      <c r="M83" s="27"/>
      <c r="N83" s="27"/>
      <c r="O83" s="28"/>
      <c r="P83" s="29"/>
      <c r="Q83" s="54">
        <f t="shared" si="12"/>
        <v>0</v>
      </c>
      <c r="S83" s="52">
        <v>0.58699999999999997</v>
      </c>
      <c r="T83" s="52">
        <v>0.58699999999999997</v>
      </c>
    </row>
    <row r="84" spans="1:20" s="30" customFormat="1" x14ac:dyDescent="0.2">
      <c r="A84" s="41"/>
      <c r="B84" s="41"/>
      <c r="C84" s="41"/>
      <c r="D84" s="41"/>
      <c r="E84" s="41"/>
      <c r="F84" s="41"/>
      <c r="G84" s="46"/>
      <c r="H84" s="46" t="s">
        <v>76</v>
      </c>
      <c r="I84" s="47" t="s">
        <v>77</v>
      </c>
      <c r="J84" s="47" t="s">
        <v>78</v>
      </c>
      <c r="K84" s="48" t="s">
        <v>79</v>
      </c>
      <c r="L84" s="26"/>
      <c r="M84" s="27"/>
      <c r="N84" s="27"/>
      <c r="O84" s="28"/>
      <c r="P84" s="29"/>
      <c r="Q84" s="54">
        <f t="shared" si="12"/>
        <v>0</v>
      </c>
      <c r="S84" s="45"/>
    </row>
    <row r="85" spans="1:20" s="30" customFormat="1" ht="13" x14ac:dyDescent="0.2">
      <c r="A85" s="41"/>
      <c r="B85" s="41"/>
      <c r="C85" s="41"/>
      <c r="D85" s="41"/>
      <c r="E85" s="41"/>
      <c r="F85" s="41">
        <f>+F82+1</f>
        <v>9</v>
      </c>
      <c r="G85" s="49">
        <f>+G82+1</f>
        <v>75</v>
      </c>
      <c r="H85" s="50" t="s">
        <v>156</v>
      </c>
      <c r="I85" s="51">
        <v>57.48</v>
      </c>
      <c r="J85" s="51">
        <v>57.48</v>
      </c>
      <c r="K85" s="52">
        <v>0.61099999999999999</v>
      </c>
      <c r="L85" s="26"/>
      <c r="M85" s="27">
        <f t="shared" si="8"/>
        <v>0.61058517599469764</v>
      </c>
      <c r="N85" s="27">
        <f t="shared" si="9"/>
        <v>0.61060000000000003</v>
      </c>
      <c r="O85" s="28">
        <f t="shared" si="10"/>
        <v>0.61099999999999999</v>
      </c>
      <c r="P85" s="29">
        <f t="shared" si="11"/>
        <v>0.61</v>
      </c>
      <c r="Q85" s="54">
        <f t="shared" si="12"/>
        <v>17</v>
      </c>
      <c r="S85" s="48"/>
    </row>
    <row r="86" spans="1:20" s="30" customFormat="1" ht="13" x14ac:dyDescent="0.2">
      <c r="A86" s="41"/>
      <c r="B86" s="41"/>
      <c r="C86" s="41"/>
      <c r="D86" s="41"/>
      <c r="E86" s="41"/>
      <c r="F86" s="41">
        <f>+F85+1</f>
        <v>10</v>
      </c>
      <c r="G86" s="49">
        <f t="shared" ref="G86:G92" si="15">+G85+1</f>
        <v>76</v>
      </c>
      <c r="H86" s="50" t="s">
        <v>157</v>
      </c>
      <c r="I86" s="51">
        <v>55.76</v>
      </c>
      <c r="J86" s="51">
        <v>55.76</v>
      </c>
      <c r="K86" s="52">
        <v>0.59199999999999997</v>
      </c>
      <c r="L86" s="26"/>
      <c r="M86" s="27">
        <f t="shared" si="8"/>
        <v>0.59231436001155779</v>
      </c>
      <c r="N86" s="27">
        <f t="shared" si="9"/>
        <v>0.59230000000000005</v>
      </c>
      <c r="O86" s="28">
        <f t="shared" si="10"/>
        <v>0.59199999999999997</v>
      </c>
      <c r="P86" s="29">
        <f t="shared" si="11"/>
        <v>0.59</v>
      </c>
      <c r="Q86" s="54">
        <f t="shared" si="12"/>
        <v>17</v>
      </c>
      <c r="S86" s="52">
        <v>0.61099999999999999</v>
      </c>
      <c r="T86" s="52">
        <v>0.61099999999999999</v>
      </c>
    </row>
    <row r="87" spans="1:20" s="30" customFormat="1" ht="13" x14ac:dyDescent="0.2">
      <c r="A87" s="41"/>
      <c r="B87" s="41"/>
      <c r="C87" s="41"/>
      <c r="D87" s="41"/>
      <c r="E87" s="41"/>
      <c r="F87" s="41">
        <f t="shared" ref="F87:F92" si="16">+F86+1</f>
        <v>11</v>
      </c>
      <c r="G87" s="49">
        <f t="shared" si="15"/>
        <v>77</v>
      </c>
      <c r="H87" s="50" t="s">
        <v>158</v>
      </c>
      <c r="I87" s="51">
        <v>55.55</v>
      </c>
      <c r="J87" s="51">
        <v>55.55</v>
      </c>
      <c r="K87" s="52">
        <v>0.59</v>
      </c>
      <c r="L87" s="26"/>
      <c r="M87" s="27">
        <f t="shared" si="8"/>
        <v>0.59008362085082566</v>
      </c>
      <c r="N87" s="27">
        <f t="shared" si="9"/>
        <v>0.59009999999999996</v>
      </c>
      <c r="O87" s="28">
        <f t="shared" si="10"/>
        <v>0.59</v>
      </c>
      <c r="P87" s="29">
        <f t="shared" si="11"/>
        <v>0.59</v>
      </c>
      <c r="Q87" s="54">
        <f t="shared" si="12"/>
        <v>18</v>
      </c>
      <c r="S87" s="52">
        <v>0.59199999999999997</v>
      </c>
      <c r="T87" s="52">
        <v>0.59199999999999997</v>
      </c>
    </row>
    <row r="88" spans="1:20" s="30" customFormat="1" ht="13" x14ac:dyDescent="0.2">
      <c r="A88" s="41"/>
      <c r="B88" s="41"/>
      <c r="C88" s="41"/>
      <c r="D88" s="41"/>
      <c r="E88" s="41"/>
      <c r="F88" s="41">
        <f t="shared" si="16"/>
        <v>12</v>
      </c>
      <c r="G88" s="49">
        <f t="shared" si="15"/>
        <v>78</v>
      </c>
      <c r="H88" s="50" t="s">
        <v>159</v>
      </c>
      <c r="I88" s="51">
        <v>62.32</v>
      </c>
      <c r="J88" s="51">
        <v>62.32</v>
      </c>
      <c r="K88" s="52">
        <v>0.66200000000000003</v>
      </c>
      <c r="L88" s="26"/>
      <c r="M88" s="27">
        <f t="shared" si="8"/>
        <v>0.66199840236585872</v>
      </c>
      <c r="N88" s="27">
        <f t="shared" si="9"/>
        <v>0.66200000000000003</v>
      </c>
      <c r="O88" s="28">
        <f t="shared" si="10"/>
        <v>0.66200000000000003</v>
      </c>
      <c r="P88" s="29">
        <f t="shared" si="11"/>
        <v>0.66</v>
      </c>
      <c r="Q88" s="54">
        <f t="shared" si="12"/>
        <v>17</v>
      </c>
      <c r="S88" s="52">
        <v>0.59</v>
      </c>
      <c r="T88" s="52">
        <v>0.59</v>
      </c>
    </row>
    <row r="89" spans="1:20" s="30" customFormat="1" ht="13" x14ac:dyDescent="0.2">
      <c r="A89" s="41"/>
      <c r="B89" s="41"/>
      <c r="C89" s="41"/>
      <c r="D89" s="41"/>
      <c r="E89" s="41"/>
      <c r="F89" s="41">
        <f t="shared" si="16"/>
        <v>13</v>
      </c>
      <c r="G89" s="49">
        <f t="shared" si="15"/>
        <v>79</v>
      </c>
      <c r="H89" s="50" t="s">
        <v>160</v>
      </c>
      <c r="I89" s="51">
        <v>60.95</v>
      </c>
      <c r="J89" s="51">
        <v>60.95</v>
      </c>
      <c r="K89" s="52">
        <v>0.64700000000000002</v>
      </c>
      <c r="L89" s="26"/>
      <c r="M89" s="27">
        <f t="shared" si="8"/>
        <v>0.64744548498393917</v>
      </c>
      <c r="N89" s="27">
        <f t="shared" si="9"/>
        <v>0.64739999999999998</v>
      </c>
      <c r="O89" s="28">
        <f t="shared" si="10"/>
        <v>0.64700000000000002</v>
      </c>
      <c r="P89" s="29">
        <f t="shared" si="11"/>
        <v>0.65</v>
      </c>
      <c r="Q89" s="54">
        <f t="shared" si="12"/>
        <v>17</v>
      </c>
      <c r="S89" s="52">
        <v>0.66200000000000003</v>
      </c>
      <c r="T89" s="52">
        <v>0.66200000000000003</v>
      </c>
    </row>
    <row r="90" spans="1:20" s="30" customFormat="1" ht="13" x14ac:dyDescent="0.2">
      <c r="A90" s="41"/>
      <c r="B90" s="41"/>
      <c r="C90" s="41"/>
      <c r="D90" s="41"/>
      <c r="E90" s="41"/>
      <c r="F90" s="41">
        <f t="shared" si="16"/>
        <v>14</v>
      </c>
      <c r="G90" s="49">
        <f t="shared" si="15"/>
        <v>80</v>
      </c>
      <c r="H90" s="50" t="s">
        <v>161</v>
      </c>
      <c r="I90" s="51">
        <v>61.16</v>
      </c>
      <c r="J90" s="51">
        <v>61.16</v>
      </c>
      <c r="K90" s="52">
        <v>0.65</v>
      </c>
      <c r="L90" s="26"/>
      <c r="M90" s="27">
        <f t="shared" si="8"/>
        <v>0.64967622414467141</v>
      </c>
      <c r="N90" s="27">
        <f t="shared" si="9"/>
        <v>0.64970000000000006</v>
      </c>
      <c r="O90" s="28">
        <f t="shared" si="10"/>
        <v>0.65</v>
      </c>
      <c r="P90" s="29">
        <f t="shared" si="11"/>
        <v>0.65</v>
      </c>
      <c r="Q90" s="54">
        <f t="shared" si="12"/>
        <v>34</v>
      </c>
      <c r="S90" s="52">
        <v>0.64700000000000002</v>
      </c>
      <c r="T90" s="52">
        <v>0.64700000000000002</v>
      </c>
    </row>
    <row r="91" spans="1:20" s="30" customFormat="1" ht="13" x14ac:dyDescent="0.2">
      <c r="A91" s="41"/>
      <c r="B91" s="41"/>
      <c r="C91" s="41"/>
      <c r="D91" s="41"/>
      <c r="E91" s="41"/>
      <c r="F91" s="41">
        <f t="shared" si="16"/>
        <v>15</v>
      </c>
      <c r="G91" s="49">
        <f t="shared" si="15"/>
        <v>81</v>
      </c>
      <c r="H91" s="50" t="s">
        <v>162</v>
      </c>
      <c r="I91" s="51">
        <v>61.18</v>
      </c>
      <c r="J91" s="51">
        <v>61.18</v>
      </c>
      <c r="K91" s="52">
        <v>0.65</v>
      </c>
      <c r="L91" s="26"/>
      <c r="M91" s="27">
        <f t="shared" si="8"/>
        <v>0.64988867549331253</v>
      </c>
      <c r="N91" s="27">
        <f t="shared" si="9"/>
        <v>0.64990000000000003</v>
      </c>
      <c r="O91" s="28">
        <f t="shared" si="10"/>
        <v>0.65</v>
      </c>
      <c r="P91" s="29">
        <f t="shared" si="11"/>
        <v>0.65</v>
      </c>
      <c r="Q91" s="54">
        <f t="shared" si="12"/>
        <v>34</v>
      </c>
      <c r="S91" s="52">
        <v>0.65</v>
      </c>
      <c r="T91" s="52">
        <v>0.65</v>
      </c>
    </row>
    <row r="92" spans="1:20" s="30" customFormat="1" ht="13" x14ac:dyDescent="0.2">
      <c r="A92" s="41"/>
      <c r="B92" s="41"/>
      <c r="C92" s="41"/>
      <c r="D92" s="41"/>
      <c r="E92" s="41"/>
      <c r="F92" s="41">
        <f t="shared" si="16"/>
        <v>16</v>
      </c>
      <c r="G92" s="49">
        <f t="shared" si="15"/>
        <v>82</v>
      </c>
      <c r="H92" s="50" t="s">
        <v>163</v>
      </c>
      <c r="I92" s="51">
        <v>57.23</v>
      </c>
      <c r="J92" s="51">
        <v>57.23</v>
      </c>
      <c r="K92" s="52">
        <v>0.60799999999999998</v>
      </c>
      <c r="L92" s="26"/>
      <c r="M92" s="27">
        <f t="shared" si="8"/>
        <v>0.60792953413668316</v>
      </c>
      <c r="N92" s="27">
        <f t="shared" si="9"/>
        <v>0.6079</v>
      </c>
      <c r="O92" s="28">
        <f t="shared" si="10"/>
        <v>0.60799999999999998</v>
      </c>
      <c r="P92" s="29">
        <f t="shared" si="11"/>
        <v>0.61</v>
      </c>
      <c r="Q92" s="54">
        <f t="shared" si="12"/>
        <v>17</v>
      </c>
      <c r="S92" s="52">
        <v>0.65</v>
      </c>
      <c r="T92" s="52">
        <v>0.65</v>
      </c>
    </row>
    <row r="93" spans="1:20" s="30" customFormat="1" ht="13" x14ac:dyDescent="0.2">
      <c r="A93" s="41"/>
      <c r="B93" s="41"/>
      <c r="C93" s="41"/>
      <c r="D93" s="41"/>
      <c r="E93" s="41"/>
      <c r="F93" s="41"/>
      <c r="G93" s="42" t="s">
        <v>74</v>
      </c>
      <c r="H93" s="42" t="s">
        <v>164</v>
      </c>
      <c r="I93" s="56"/>
      <c r="J93" s="57"/>
      <c r="K93" s="45"/>
      <c r="L93" s="26"/>
      <c r="M93" s="27"/>
      <c r="N93" s="27"/>
      <c r="O93" s="28"/>
      <c r="P93" s="29"/>
      <c r="Q93" s="54">
        <f t="shared" si="12"/>
        <v>0</v>
      </c>
      <c r="S93" s="52">
        <v>0.60799999999999998</v>
      </c>
      <c r="T93" s="52">
        <v>0.60799999999999998</v>
      </c>
    </row>
    <row r="94" spans="1:20" s="30" customFormat="1" x14ac:dyDescent="0.2">
      <c r="A94" s="41"/>
      <c r="B94" s="41"/>
      <c r="C94" s="41"/>
      <c r="D94" s="41"/>
      <c r="E94" s="41"/>
      <c r="F94" s="41"/>
      <c r="G94" s="46"/>
      <c r="H94" s="46" t="s">
        <v>76</v>
      </c>
      <c r="I94" s="47" t="s">
        <v>77</v>
      </c>
      <c r="J94" s="47" t="s">
        <v>78</v>
      </c>
      <c r="K94" s="48" t="s">
        <v>79</v>
      </c>
      <c r="L94" s="26"/>
      <c r="M94" s="27"/>
      <c r="N94" s="27"/>
      <c r="O94" s="28"/>
      <c r="P94" s="29"/>
      <c r="Q94" s="54">
        <f t="shared" si="12"/>
        <v>0</v>
      </c>
      <c r="S94" s="45"/>
    </row>
    <row r="95" spans="1:20" s="30" customFormat="1" ht="13" x14ac:dyDescent="0.2">
      <c r="A95" s="41"/>
      <c r="B95" s="41"/>
      <c r="C95" s="41"/>
      <c r="D95" s="41"/>
      <c r="E95" s="41"/>
      <c r="F95" s="41">
        <f>+F92+1</f>
        <v>17</v>
      </c>
      <c r="G95" s="49">
        <f>+G92+1</f>
        <v>83</v>
      </c>
      <c r="H95" s="50" t="s">
        <v>165</v>
      </c>
      <c r="I95" s="51">
        <v>57.48</v>
      </c>
      <c r="J95" s="51">
        <v>57.48</v>
      </c>
      <c r="K95" s="52">
        <v>0.61099999999999999</v>
      </c>
      <c r="L95" s="26"/>
      <c r="M95" s="27">
        <f t="shared" si="8"/>
        <v>0.61058517599469764</v>
      </c>
      <c r="N95" s="27">
        <f t="shared" si="9"/>
        <v>0.61060000000000003</v>
      </c>
      <c r="O95" s="28">
        <f t="shared" si="10"/>
        <v>0.61099999999999999</v>
      </c>
      <c r="P95" s="29">
        <f t="shared" si="11"/>
        <v>0.61</v>
      </c>
      <c r="Q95" s="54">
        <f t="shared" si="12"/>
        <v>17</v>
      </c>
      <c r="S95" s="48"/>
    </row>
    <row r="96" spans="1:20" s="30" customFormat="1" ht="13" x14ac:dyDescent="0.2">
      <c r="A96" s="41"/>
      <c r="B96" s="41"/>
      <c r="C96" s="41"/>
      <c r="D96" s="41"/>
      <c r="E96" s="41"/>
      <c r="F96" s="41">
        <f>+F95+1</f>
        <v>18</v>
      </c>
      <c r="G96" s="49">
        <f t="shared" ref="G96:G102" si="17">+G95+1</f>
        <v>84</v>
      </c>
      <c r="H96" s="50" t="s">
        <v>166</v>
      </c>
      <c r="I96" s="51">
        <v>55.76</v>
      </c>
      <c r="J96" s="51">
        <v>55.76</v>
      </c>
      <c r="K96" s="52">
        <v>0.59199999999999997</v>
      </c>
      <c r="L96" s="26"/>
      <c r="M96" s="27">
        <f t="shared" si="8"/>
        <v>0.59231436001155779</v>
      </c>
      <c r="N96" s="27">
        <f t="shared" si="9"/>
        <v>0.59230000000000005</v>
      </c>
      <c r="O96" s="28">
        <f t="shared" si="10"/>
        <v>0.59199999999999997</v>
      </c>
      <c r="P96" s="29">
        <f t="shared" si="11"/>
        <v>0.59</v>
      </c>
      <c r="Q96" s="54">
        <f t="shared" si="12"/>
        <v>17</v>
      </c>
      <c r="S96" s="52">
        <v>0.61099999999999999</v>
      </c>
      <c r="T96" s="52">
        <v>0.61099999999999999</v>
      </c>
    </row>
    <row r="97" spans="1:20" s="30" customFormat="1" ht="13" x14ac:dyDescent="0.2">
      <c r="A97" s="41"/>
      <c r="B97" s="41"/>
      <c r="C97" s="41"/>
      <c r="D97" s="41"/>
      <c r="E97" s="41"/>
      <c r="F97" s="41">
        <f t="shared" ref="F97:F102" si="18">+F96+1</f>
        <v>19</v>
      </c>
      <c r="G97" s="49">
        <f t="shared" si="17"/>
        <v>85</v>
      </c>
      <c r="H97" s="50" t="s">
        <v>167</v>
      </c>
      <c r="I97" s="51">
        <v>55.55</v>
      </c>
      <c r="J97" s="51">
        <v>55.55</v>
      </c>
      <c r="K97" s="52">
        <v>0.59</v>
      </c>
      <c r="L97" s="26"/>
      <c r="M97" s="27">
        <f t="shared" si="8"/>
        <v>0.59008362085082566</v>
      </c>
      <c r="N97" s="27">
        <f t="shared" si="9"/>
        <v>0.59009999999999996</v>
      </c>
      <c r="O97" s="28">
        <f t="shared" si="10"/>
        <v>0.59</v>
      </c>
      <c r="P97" s="29">
        <f t="shared" si="11"/>
        <v>0.59</v>
      </c>
      <c r="Q97" s="54">
        <f t="shared" si="12"/>
        <v>18</v>
      </c>
      <c r="S97" s="52">
        <v>0.59199999999999997</v>
      </c>
      <c r="T97" s="52">
        <v>0.59199999999999997</v>
      </c>
    </row>
    <row r="98" spans="1:20" s="30" customFormat="1" ht="13" x14ac:dyDescent="0.2">
      <c r="A98" s="41"/>
      <c r="B98" s="41"/>
      <c r="C98" s="41"/>
      <c r="D98" s="41"/>
      <c r="E98" s="41"/>
      <c r="F98" s="41">
        <f t="shared" si="18"/>
        <v>20</v>
      </c>
      <c r="G98" s="49">
        <f t="shared" si="17"/>
        <v>86</v>
      </c>
      <c r="H98" s="50" t="s">
        <v>168</v>
      </c>
      <c r="I98" s="51">
        <v>62.32</v>
      </c>
      <c r="J98" s="51">
        <v>62.32</v>
      </c>
      <c r="K98" s="52">
        <v>0.66200000000000003</v>
      </c>
      <c r="L98" s="26"/>
      <c r="M98" s="27">
        <f t="shared" si="8"/>
        <v>0.66199840236585872</v>
      </c>
      <c r="N98" s="27">
        <f t="shared" si="9"/>
        <v>0.66200000000000003</v>
      </c>
      <c r="O98" s="28">
        <f t="shared" si="10"/>
        <v>0.66200000000000003</v>
      </c>
      <c r="P98" s="29">
        <f t="shared" si="11"/>
        <v>0.66</v>
      </c>
      <c r="Q98" s="54">
        <f t="shared" si="12"/>
        <v>17</v>
      </c>
      <c r="S98" s="52">
        <v>0.59</v>
      </c>
      <c r="T98" s="52">
        <v>0.59</v>
      </c>
    </row>
    <row r="99" spans="1:20" s="30" customFormat="1" ht="13" x14ac:dyDescent="0.2">
      <c r="A99" s="41"/>
      <c r="B99" s="41"/>
      <c r="C99" s="41"/>
      <c r="D99" s="41"/>
      <c r="E99" s="41"/>
      <c r="F99" s="41">
        <f t="shared" si="18"/>
        <v>21</v>
      </c>
      <c r="G99" s="49">
        <f t="shared" si="17"/>
        <v>87</v>
      </c>
      <c r="H99" s="50" t="s">
        <v>169</v>
      </c>
      <c r="I99" s="51">
        <v>60.95</v>
      </c>
      <c r="J99" s="51">
        <v>60.95</v>
      </c>
      <c r="K99" s="52">
        <v>0.64700000000000002</v>
      </c>
      <c r="L99" s="26"/>
      <c r="M99" s="27">
        <f t="shared" si="8"/>
        <v>0.64744548498393917</v>
      </c>
      <c r="N99" s="27">
        <f t="shared" si="9"/>
        <v>0.64739999999999998</v>
      </c>
      <c r="O99" s="28">
        <f t="shared" si="10"/>
        <v>0.64700000000000002</v>
      </c>
      <c r="P99" s="29">
        <f t="shared" si="11"/>
        <v>0.65</v>
      </c>
      <c r="Q99" s="54">
        <f t="shared" si="12"/>
        <v>17</v>
      </c>
      <c r="S99" s="52">
        <v>0.66200000000000003</v>
      </c>
      <c r="T99" s="52">
        <v>0.66200000000000003</v>
      </c>
    </row>
    <row r="100" spans="1:20" s="30" customFormat="1" ht="13" x14ac:dyDescent="0.2">
      <c r="A100" s="41"/>
      <c r="B100" s="41"/>
      <c r="C100" s="41"/>
      <c r="D100" s="41"/>
      <c r="E100" s="41"/>
      <c r="F100" s="41">
        <f t="shared" si="18"/>
        <v>22</v>
      </c>
      <c r="G100" s="49">
        <f t="shared" si="17"/>
        <v>88</v>
      </c>
      <c r="H100" s="50" t="s">
        <v>170</v>
      </c>
      <c r="I100" s="51">
        <v>61.16</v>
      </c>
      <c r="J100" s="51">
        <v>61.16</v>
      </c>
      <c r="K100" s="52">
        <v>0.65</v>
      </c>
      <c r="L100" s="26"/>
      <c r="M100" s="27">
        <f t="shared" si="8"/>
        <v>0.64967622414467141</v>
      </c>
      <c r="N100" s="27">
        <f t="shared" si="9"/>
        <v>0.64970000000000006</v>
      </c>
      <c r="O100" s="28">
        <f t="shared" si="10"/>
        <v>0.65</v>
      </c>
      <c r="P100" s="29">
        <f t="shared" si="11"/>
        <v>0.65</v>
      </c>
      <c r="Q100" s="54">
        <f t="shared" si="12"/>
        <v>34</v>
      </c>
      <c r="S100" s="52">
        <v>0.64700000000000002</v>
      </c>
      <c r="T100" s="52">
        <v>0.64700000000000002</v>
      </c>
    </row>
    <row r="101" spans="1:20" s="30" customFormat="1" ht="13" x14ac:dyDescent="0.2">
      <c r="A101" s="41"/>
      <c r="B101" s="41"/>
      <c r="C101" s="41"/>
      <c r="D101" s="41"/>
      <c r="E101" s="41"/>
      <c r="F101" s="41">
        <f t="shared" si="18"/>
        <v>23</v>
      </c>
      <c r="G101" s="49">
        <f t="shared" si="17"/>
        <v>89</v>
      </c>
      <c r="H101" s="50" t="s">
        <v>171</v>
      </c>
      <c r="I101" s="51">
        <v>61.18</v>
      </c>
      <c r="J101" s="51">
        <v>61.18</v>
      </c>
      <c r="K101" s="52">
        <v>0.65</v>
      </c>
      <c r="L101" s="26"/>
      <c r="M101" s="27">
        <f t="shared" si="8"/>
        <v>0.64988867549331253</v>
      </c>
      <c r="N101" s="27">
        <f t="shared" si="9"/>
        <v>0.64990000000000003</v>
      </c>
      <c r="O101" s="28">
        <f t="shared" si="10"/>
        <v>0.65</v>
      </c>
      <c r="P101" s="29">
        <f t="shared" si="11"/>
        <v>0.65</v>
      </c>
      <c r="Q101" s="54">
        <f t="shared" si="12"/>
        <v>34</v>
      </c>
      <c r="S101" s="52">
        <v>0.65</v>
      </c>
      <c r="T101" s="52">
        <v>0.65</v>
      </c>
    </row>
    <row r="102" spans="1:20" s="30" customFormat="1" ht="13" x14ac:dyDescent="0.2">
      <c r="A102" s="41"/>
      <c r="B102" s="41"/>
      <c r="C102" s="41"/>
      <c r="D102" s="41"/>
      <c r="E102" s="41"/>
      <c r="F102" s="41">
        <f t="shared" si="18"/>
        <v>24</v>
      </c>
      <c r="G102" s="49">
        <f t="shared" si="17"/>
        <v>90</v>
      </c>
      <c r="H102" s="50" t="s">
        <v>172</v>
      </c>
      <c r="I102" s="51">
        <v>57.23</v>
      </c>
      <c r="J102" s="51">
        <v>57.23</v>
      </c>
      <c r="K102" s="52">
        <v>0.60799999999999998</v>
      </c>
      <c r="L102" s="26"/>
      <c r="M102" s="27">
        <f t="shared" si="8"/>
        <v>0.60792953413668316</v>
      </c>
      <c r="N102" s="27">
        <f t="shared" si="9"/>
        <v>0.6079</v>
      </c>
      <c r="O102" s="28">
        <f t="shared" si="10"/>
        <v>0.60799999999999998</v>
      </c>
      <c r="P102" s="29">
        <f t="shared" si="11"/>
        <v>0.61</v>
      </c>
      <c r="Q102" s="54">
        <f t="shared" si="12"/>
        <v>17</v>
      </c>
      <c r="S102" s="52">
        <v>0.65</v>
      </c>
      <c r="T102" s="52">
        <v>0.65</v>
      </c>
    </row>
    <row r="103" spans="1:20" s="30" customFormat="1" ht="13" x14ac:dyDescent="0.2">
      <c r="A103" s="41"/>
      <c r="B103" s="41"/>
      <c r="C103" s="41"/>
      <c r="D103" s="41"/>
      <c r="E103" s="41"/>
      <c r="F103" s="41"/>
      <c r="G103" s="42" t="s">
        <v>74</v>
      </c>
      <c r="H103" s="42" t="s">
        <v>173</v>
      </c>
      <c r="I103" s="56"/>
      <c r="J103" s="57"/>
      <c r="K103" s="45"/>
      <c r="L103" s="26"/>
      <c r="M103" s="27"/>
      <c r="N103" s="27"/>
      <c r="O103" s="28"/>
      <c r="P103" s="29"/>
      <c r="Q103" s="54">
        <f t="shared" si="12"/>
        <v>0</v>
      </c>
      <c r="S103" s="52">
        <v>0.60799999999999998</v>
      </c>
      <c r="T103" s="52">
        <v>0.60799999999999998</v>
      </c>
    </row>
    <row r="104" spans="1:20" s="30" customFormat="1" x14ac:dyDescent="0.2">
      <c r="A104" s="41"/>
      <c r="B104" s="41"/>
      <c r="C104" s="41"/>
      <c r="D104" s="41"/>
      <c r="E104" s="41"/>
      <c r="F104" s="41"/>
      <c r="G104" s="46"/>
      <c r="H104" s="46" t="s">
        <v>76</v>
      </c>
      <c r="I104" s="47" t="s">
        <v>77</v>
      </c>
      <c r="J104" s="47" t="s">
        <v>78</v>
      </c>
      <c r="K104" s="48" t="s">
        <v>79</v>
      </c>
      <c r="L104" s="26"/>
      <c r="M104" s="27"/>
      <c r="N104" s="27"/>
      <c r="O104" s="28"/>
      <c r="P104" s="29"/>
      <c r="Q104" s="54">
        <f t="shared" si="12"/>
        <v>0</v>
      </c>
      <c r="S104" s="45"/>
    </row>
    <row r="105" spans="1:20" s="30" customFormat="1" ht="13" x14ac:dyDescent="0.2">
      <c r="A105" s="41"/>
      <c r="B105" s="41"/>
      <c r="C105" s="41"/>
      <c r="D105" s="41"/>
      <c r="E105" s="41"/>
      <c r="F105" s="41">
        <f>+F102+1</f>
        <v>25</v>
      </c>
      <c r="G105" s="49">
        <f>+G102+1</f>
        <v>91</v>
      </c>
      <c r="H105" s="50" t="s">
        <v>174</v>
      </c>
      <c r="I105" s="51">
        <v>57.48</v>
      </c>
      <c r="J105" s="51">
        <v>57.48</v>
      </c>
      <c r="K105" s="52">
        <v>0.61099999999999999</v>
      </c>
      <c r="L105" s="26"/>
      <c r="M105" s="27">
        <f t="shared" si="8"/>
        <v>0.61058517599469764</v>
      </c>
      <c r="N105" s="27">
        <f t="shared" si="9"/>
        <v>0.61060000000000003</v>
      </c>
      <c r="O105" s="28">
        <f t="shared" si="10"/>
        <v>0.61099999999999999</v>
      </c>
      <c r="P105" s="29">
        <f t="shared" si="11"/>
        <v>0.61</v>
      </c>
      <c r="Q105" s="54">
        <f t="shared" si="12"/>
        <v>17</v>
      </c>
      <c r="S105" s="48"/>
    </row>
    <row r="106" spans="1:20" s="30" customFormat="1" ht="13" x14ac:dyDescent="0.2">
      <c r="A106" s="41"/>
      <c r="B106" s="41"/>
      <c r="C106" s="41"/>
      <c r="D106" s="41"/>
      <c r="E106" s="41"/>
      <c r="F106" s="41">
        <f>+F105+1</f>
        <v>26</v>
      </c>
      <c r="G106" s="49">
        <f t="shared" ref="G106:G112" si="19">+G105+1</f>
        <v>92</v>
      </c>
      <c r="H106" s="50" t="s">
        <v>175</v>
      </c>
      <c r="I106" s="51">
        <v>55.76</v>
      </c>
      <c r="J106" s="51">
        <v>55.76</v>
      </c>
      <c r="K106" s="52">
        <v>0.59199999999999997</v>
      </c>
      <c r="L106" s="26"/>
      <c r="M106" s="27">
        <f t="shared" si="8"/>
        <v>0.59231436001155779</v>
      </c>
      <c r="N106" s="27">
        <f t="shared" si="9"/>
        <v>0.59230000000000005</v>
      </c>
      <c r="O106" s="28">
        <f t="shared" si="10"/>
        <v>0.59199999999999997</v>
      </c>
      <c r="P106" s="29">
        <f t="shared" si="11"/>
        <v>0.59</v>
      </c>
      <c r="Q106" s="54">
        <f t="shared" si="12"/>
        <v>17</v>
      </c>
      <c r="S106" s="52">
        <v>0.61099999999999999</v>
      </c>
    </row>
    <row r="107" spans="1:20" s="30" customFormat="1" ht="13" x14ac:dyDescent="0.2">
      <c r="A107" s="41"/>
      <c r="B107" s="41"/>
      <c r="C107" s="41"/>
      <c r="D107" s="41"/>
      <c r="E107" s="41"/>
      <c r="F107" s="41">
        <f t="shared" ref="F107:F112" si="20">+F106+1</f>
        <v>27</v>
      </c>
      <c r="G107" s="49">
        <f t="shared" si="19"/>
        <v>93</v>
      </c>
      <c r="H107" s="50" t="s">
        <v>176</v>
      </c>
      <c r="I107" s="51">
        <v>55.55</v>
      </c>
      <c r="J107" s="51">
        <v>55.55</v>
      </c>
      <c r="K107" s="52">
        <v>0.59</v>
      </c>
      <c r="L107" s="26"/>
      <c r="M107" s="27">
        <f t="shared" si="8"/>
        <v>0.59008362085082566</v>
      </c>
      <c r="N107" s="27">
        <f t="shared" si="9"/>
        <v>0.59009999999999996</v>
      </c>
      <c r="O107" s="28">
        <f t="shared" si="10"/>
        <v>0.59</v>
      </c>
      <c r="P107" s="29">
        <f t="shared" si="11"/>
        <v>0.59</v>
      </c>
      <c r="Q107" s="54">
        <f t="shared" si="12"/>
        <v>18</v>
      </c>
      <c r="S107" s="52">
        <v>0.59199999999999997</v>
      </c>
    </row>
    <row r="108" spans="1:20" s="30" customFormat="1" ht="13" x14ac:dyDescent="0.2">
      <c r="A108" s="41"/>
      <c r="B108" s="41"/>
      <c r="C108" s="41"/>
      <c r="D108" s="41"/>
      <c r="E108" s="41"/>
      <c r="F108" s="41">
        <f t="shared" si="20"/>
        <v>28</v>
      </c>
      <c r="G108" s="49">
        <f t="shared" si="19"/>
        <v>94</v>
      </c>
      <c r="H108" s="50" t="s">
        <v>177</v>
      </c>
      <c r="I108" s="51">
        <v>62.32</v>
      </c>
      <c r="J108" s="51">
        <v>62.32</v>
      </c>
      <c r="K108" s="52">
        <v>0.66200000000000003</v>
      </c>
      <c r="L108" s="26"/>
      <c r="M108" s="27">
        <f t="shared" si="8"/>
        <v>0.66199840236585872</v>
      </c>
      <c r="N108" s="27">
        <f t="shared" si="9"/>
        <v>0.66200000000000003</v>
      </c>
      <c r="O108" s="28">
        <f t="shared" si="10"/>
        <v>0.66200000000000003</v>
      </c>
      <c r="P108" s="29">
        <f t="shared" si="11"/>
        <v>0.66</v>
      </c>
      <c r="Q108" s="54">
        <f t="shared" si="12"/>
        <v>17</v>
      </c>
      <c r="S108" s="52">
        <v>0.59</v>
      </c>
    </row>
    <row r="109" spans="1:20" s="30" customFormat="1" ht="13" x14ac:dyDescent="0.2">
      <c r="A109" s="41"/>
      <c r="B109" s="41"/>
      <c r="C109" s="41"/>
      <c r="D109" s="41"/>
      <c r="E109" s="41"/>
      <c r="F109" s="41">
        <f t="shared" si="20"/>
        <v>29</v>
      </c>
      <c r="G109" s="49">
        <f t="shared" si="19"/>
        <v>95</v>
      </c>
      <c r="H109" s="50" t="s">
        <v>178</v>
      </c>
      <c r="I109" s="51">
        <v>60.95</v>
      </c>
      <c r="J109" s="51">
        <v>60.95</v>
      </c>
      <c r="K109" s="52">
        <v>0.64700000000000002</v>
      </c>
      <c r="L109" s="26"/>
      <c r="M109" s="27">
        <f t="shared" si="8"/>
        <v>0.64744548498393917</v>
      </c>
      <c r="N109" s="27">
        <f t="shared" si="9"/>
        <v>0.64739999999999998</v>
      </c>
      <c r="O109" s="28">
        <f t="shared" si="10"/>
        <v>0.64700000000000002</v>
      </c>
      <c r="P109" s="29">
        <f t="shared" si="11"/>
        <v>0.65</v>
      </c>
      <c r="Q109" s="54">
        <f t="shared" si="12"/>
        <v>17</v>
      </c>
      <c r="S109" s="52">
        <v>0.66200000000000003</v>
      </c>
    </row>
    <row r="110" spans="1:20" s="30" customFormat="1" ht="13" x14ac:dyDescent="0.2">
      <c r="A110" s="41"/>
      <c r="B110" s="41"/>
      <c r="C110" s="41"/>
      <c r="D110" s="41"/>
      <c r="E110" s="41"/>
      <c r="F110" s="41">
        <f t="shared" si="20"/>
        <v>30</v>
      </c>
      <c r="G110" s="49">
        <f t="shared" si="19"/>
        <v>96</v>
      </c>
      <c r="H110" s="50" t="s">
        <v>179</v>
      </c>
      <c r="I110" s="51">
        <v>61.16</v>
      </c>
      <c r="J110" s="51">
        <v>61.16</v>
      </c>
      <c r="K110" s="52">
        <v>0.65</v>
      </c>
      <c r="L110" s="26"/>
      <c r="M110" s="27">
        <f t="shared" si="8"/>
        <v>0.64967622414467141</v>
      </c>
      <c r="N110" s="27">
        <f t="shared" si="9"/>
        <v>0.64970000000000006</v>
      </c>
      <c r="O110" s="28">
        <f t="shared" si="10"/>
        <v>0.65</v>
      </c>
      <c r="P110" s="29">
        <f t="shared" si="11"/>
        <v>0.65</v>
      </c>
      <c r="Q110" s="54">
        <f t="shared" si="12"/>
        <v>34</v>
      </c>
      <c r="S110" s="52">
        <v>0.64700000000000002</v>
      </c>
    </row>
    <row r="111" spans="1:20" s="30" customFormat="1" ht="13" x14ac:dyDescent="0.2">
      <c r="A111" s="41"/>
      <c r="B111" s="41"/>
      <c r="C111" s="41"/>
      <c r="D111" s="41"/>
      <c r="E111" s="41"/>
      <c r="F111" s="41">
        <f t="shared" si="20"/>
        <v>31</v>
      </c>
      <c r="G111" s="49">
        <f t="shared" si="19"/>
        <v>97</v>
      </c>
      <c r="H111" s="50" t="s">
        <v>180</v>
      </c>
      <c r="I111" s="51">
        <v>61.18</v>
      </c>
      <c r="J111" s="51">
        <v>61.18</v>
      </c>
      <c r="K111" s="52">
        <v>0.65</v>
      </c>
      <c r="L111" s="26"/>
      <c r="M111" s="27">
        <f t="shared" si="8"/>
        <v>0.64988867549331253</v>
      </c>
      <c r="N111" s="27">
        <f t="shared" si="9"/>
        <v>0.64990000000000003</v>
      </c>
      <c r="O111" s="28">
        <f t="shared" si="10"/>
        <v>0.65</v>
      </c>
      <c r="P111" s="29">
        <f t="shared" si="11"/>
        <v>0.65</v>
      </c>
      <c r="Q111" s="54">
        <f t="shared" si="12"/>
        <v>34</v>
      </c>
      <c r="S111" s="52">
        <v>0.65</v>
      </c>
    </row>
    <row r="112" spans="1:20" s="30" customFormat="1" ht="13" x14ac:dyDescent="0.2">
      <c r="A112" s="41"/>
      <c r="B112" s="41"/>
      <c r="C112" s="41"/>
      <c r="D112" s="41"/>
      <c r="E112" s="41"/>
      <c r="F112" s="41">
        <f t="shared" si="20"/>
        <v>32</v>
      </c>
      <c r="G112" s="49">
        <f t="shared" si="19"/>
        <v>98</v>
      </c>
      <c r="H112" s="50" t="s">
        <v>181</v>
      </c>
      <c r="I112" s="51">
        <v>57.23</v>
      </c>
      <c r="J112" s="51">
        <v>57.23</v>
      </c>
      <c r="K112" s="52">
        <v>0.60799999999999998</v>
      </c>
      <c r="L112" s="26"/>
      <c r="M112" s="27">
        <f t="shared" si="8"/>
        <v>0.60792953413668316</v>
      </c>
      <c r="N112" s="27">
        <f t="shared" si="9"/>
        <v>0.6079</v>
      </c>
      <c r="O112" s="28">
        <f t="shared" si="10"/>
        <v>0.60799999999999998</v>
      </c>
      <c r="P112" s="29">
        <f t="shared" si="11"/>
        <v>0.61</v>
      </c>
      <c r="Q112" s="54">
        <f t="shared" si="12"/>
        <v>17</v>
      </c>
      <c r="S112" s="52">
        <v>0.65</v>
      </c>
    </row>
    <row r="113" spans="1:19" s="30" customFormat="1" ht="13" x14ac:dyDescent="0.2">
      <c r="A113" s="41"/>
      <c r="B113" s="41"/>
      <c r="C113" s="41"/>
      <c r="D113" s="41"/>
      <c r="E113" s="41"/>
      <c r="F113" s="41"/>
      <c r="G113" s="42" t="s">
        <v>74</v>
      </c>
      <c r="H113" s="42" t="s">
        <v>182</v>
      </c>
      <c r="I113" s="56"/>
      <c r="J113" s="57"/>
      <c r="K113" s="45"/>
      <c r="L113" s="26"/>
      <c r="M113" s="27"/>
      <c r="N113" s="27"/>
      <c r="O113" s="28"/>
      <c r="P113" s="29"/>
      <c r="Q113" s="54">
        <f t="shared" si="12"/>
        <v>0</v>
      </c>
      <c r="S113" s="52">
        <v>0.60799999999999998</v>
      </c>
    </row>
    <row r="114" spans="1:19" s="30" customFormat="1" x14ac:dyDescent="0.2">
      <c r="A114" s="41"/>
      <c r="B114" s="41"/>
      <c r="C114" s="41"/>
      <c r="D114" s="41"/>
      <c r="E114" s="41"/>
      <c r="F114" s="41"/>
      <c r="G114" s="46"/>
      <c r="H114" s="46" t="s">
        <v>76</v>
      </c>
      <c r="I114" s="47" t="s">
        <v>77</v>
      </c>
      <c r="J114" s="47" t="s">
        <v>78</v>
      </c>
      <c r="K114" s="48" t="s">
        <v>79</v>
      </c>
      <c r="L114" s="26"/>
      <c r="M114" s="27"/>
      <c r="N114" s="27"/>
      <c r="O114" s="28"/>
      <c r="P114" s="29"/>
      <c r="Q114" s="54">
        <f t="shared" si="12"/>
        <v>0</v>
      </c>
      <c r="S114" s="45"/>
    </row>
    <row r="115" spans="1:19" s="30" customFormat="1" ht="13" x14ac:dyDescent="0.2">
      <c r="A115" s="41"/>
      <c r="B115" s="41"/>
      <c r="C115" s="41"/>
      <c r="D115" s="41"/>
      <c r="E115" s="41"/>
      <c r="F115" s="41">
        <f>+F112+1</f>
        <v>33</v>
      </c>
      <c r="G115" s="49">
        <f>+G112+1</f>
        <v>99</v>
      </c>
      <c r="H115" s="50" t="s">
        <v>183</v>
      </c>
      <c r="I115" s="51">
        <v>57.48</v>
      </c>
      <c r="J115" s="51">
        <v>57.48</v>
      </c>
      <c r="K115" s="52">
        <v>0.61099999999999999</v>
      </c>
      <c r="L115" s="26"/>
      <c r="M115" s="27">
        <f t="shared" si="8"/>
        <v>0.61058517599469764</v>
      </c>
      <c r="N115" s="27">
        <f t="shared" si="9"/>
        <v>0.61060000000000003</v>
      </c>
      <c r="O115" s="28">
        <f t="shared" si="10"/>
        <v>0.61099999999999999</v>
      </c>
      <c r="P115" s="29">
        <f t="shared" si="11"/>
        <v>0.61</v>
      </c>
      <c r="Q115" s="54">
        <f t="shared" si="12"/>
        <v>17</v>
      </c>
      <c r="S115" s="48"/>
    </row>
    <row r="116" spans="1:19" s="30" customFormat="1" ht="13" x14ac:dyDescent="0.2">
      <c r="A116" s="41"/>
      <c r="B116" s="41"/>
      <c r="C116" s="41"/>
      <c r="D116" s="41"/>
      <c r="E116" s="41"/>
      <c r="F116" s="41">
        <f>+F115+1</f>
        <v>34</v>
      </c>
      <c r="G116" s="49">
        <f t="shared" ref="G116:G122" si="21">+G115+1</f>
        <v>100</v>
      </c>
      <c r="H116" s="50" t="s">
        <v>184</v>
      </c>
      <c r="I116" s="51">
        <v>55.76</v>
      </c>
      <c r="J116" s="51">
        <v>55.76</v>
      </c>
      <c r="K116" s="52">
        <v>0.59199999999999997</v>
      </c>
      <c r="L116" s="26"/>
      <c r="M116" s="27">
        <f t="shared" si="8"/>
        <v>0.59231436001155779</v>
      </c>
      <c r="N116" s="27">
        <f t="shared" si="9"/>
        <v>0.59230000000000005</v>
      </c>
      <c r="O116" s="28">
        <f t="shared" si="10"/>
        <v>0.59199999999999997</v>
      </c>
      <c r="P116" s="29">
        <f t="shared" si="11"/>
        <v>0.59</v>
      </c>
      <c r="Q116" s="54">
        <f t="shared" si="12"/>
        <v>17</v>
      </c>
      <c r="S116" s="52">
        <v>0.61099999999999999</v>
      </c>
    </row>
    <row r="117" spans="1:19" s="30" customFormat="1" ht="13" x14ac:dyDescent="0.2">
      <c r="A117" s="41"/>
      <c r="B117" s="41"/>
      <c r="C117" s="41"/>
      <c r="D117" s="41"/>
      <c r="E117" s="41"/>
      <c r="F117" s="41">
        <f t="shared" ref="F117:F122" si="22">+F116+1</f>
        <v>35</v>
      </c>
      <c r="G117" s="49">
        <f t="shared" si="21"/>
        <v>101</v>
      </c>
      <c r="H117" s="50" t="s">
        <v>185</v>
      </c>
      <c r="I117" s="51">
        <v>55.55</v>
      </c>
      <c r="J117" s="51">
        <v>55.55</v>
      </c>
      <c r="K117" s="52">
        <v>0.59</v>
      </c>
      <c r="L117" s="26"/>
      <c r="M117" s="27">
        <f t="shared" si="8"/>
        <v>0.59008362085082566</v>
      </c>
      <c r="N117" s="27">
        <f t="shared" si="9"/>
        <v>0.59009999999999996</v>
      </c>
      <c r="O117" s="28">
        <f t="shared" si="10"/>
        <v>0.59</v>
      </c>
      <c r="P117" s="29">
        <f t="shared" si="11"/>
        <v>0.59</v>
      </c>
      <c r="Q117" s="54">
        <f t="shared" si="12"/>
        <v>18</v>
      </c>
      <c r="S117" s="52">
        <v>0.59199999999999997</v>
      </c>
    </row>
    <row r="118" spans="1:19" s="30" customFormat="1" ht="13" x14ac:dyDescent="0.2">
      <c r="A118" s="41"/>
      <c r="B118" s="41"/>
      <c r="C118" s="41"/>
      <c r="D118" s="41"/>
      <c r="E118" s="41"/>
      <c r="F118" s="41">
        <f t="shared" si="22"/>
        <v>36</v>
      </c>
      <c r="G118" s="49">
        <f t="shared" si="21"/>
        <v>102</v>
      </c>
      <c r="H118" s="50" t="s">
        <v>186</v>
      </c>
      <c r="I118" s="51">
        <v>62.32</v>
      </c>
      <c r="J118" s="51">
        <v>62.32</v>
      </c>
      <c r="K118" s="52">
        <v>0.66200000000000003</v>
      </c>
      <c r="L118" s="26"/>
      <c r="M118" s="27">
        <f t="shared" si="8"/>
        <v>0.66199840236585872</v>
      </c>
      <c r="N118" s="27">
        <f t="shared" si="9"/>
        <v>0.66200000000000003</v>
      </c>
      <c r="O118" s="28">
        <f t="shared" si="10"/>
        <v>0.66200000000000003</v>
      </c>
      <c r="P118" s="29">
        <f t="shared" si="11"/>
        <v>0.66</v>
      </c>
      <c r="Q118" s="54">
        <f t="shared" si="12"/>
        <v>17</v>
      </c>
      <c r="S118" s="52">
        <v>0.59</v>
      </c>
    </row>
    <row r="119" spans="1:19" s="30" customFormat="1" ht="13" x14ac:dyDescent="0.2">
      <c r="A119" s="41"/>
      <c r="B119" s="41"/>
      <c r="C119" s="41"/>
      <c r="D119" s="41"/>
      <c r="E119" s="41"/>
      <c r="F119" s="41">
        <f t="shared" si="22"/>
        <v>37</v>
      </c>
      <c r="G119" s="49">
        <f t="shared" si="21"/>
        <v>103</v>
      </c>
      <c r="H119" s="50" t="s">
        <v>187</v>
      </c>
      <c r="I119" s="51">
        <v>60.95</v>
      </c>
      <c r="J119" s="51">
        <v>60.95</v>
      </c>
      <c r="K119" s="52">
        <v>0.64700000000000002</v>
      </c>
      <c r="L119" s="26"/>
      <c r="M119" s="27">
        <f t="shared" si="8"/>
        <v>0.64744548498393917</v>
      </c>
      <c r="N119" s="27">
        <f t="shared" si="9"/>
        <v>0.64739999999999998</v>
      </c>
      <c r="O119" s="28">
        <f t="shared" si="10"/>
        <v>0.64700000000000002</v>
      </c>
      <c r="P119" s="29">
        <f t="shared" si="11"/>
        <v>0.65</v>
      </c>
      <c r="Q119" s="54">
        <f t="shared" si="12"/>
        <v>17</v>
      </c>
      <c r="S119" s="52">
        <v>0.66200000000000003</v>
      </c>
    </row>
    <row r="120" spans="1:19" s="30" customFormat="1" ht="13" x14ac:dyDescent="0.2">
      <c r="A120" s="41"/>
      <c r="B120" s="41"/>
      <c r="C120" s="41"/>
      <c r="D120" s="41"/>
      <c r="E120" s="41"/>
      <c r="F120" s="41">
        <f t="shared" si="22"/>
        <v>38</v>
      </c>
      <c r="G120" s="49">
        <f t="shared" si="21"/>
        <v>104</v>
      </c>
      <c r="H120" s="50" t="s">
        <v>188</v>
      </c>
      <c r="I120" s="51">
        <v>61.16</v>
      </c>
      <c r="J120" s="51">
        <v>61.16</v>
      </c>
      <c r="K120" s="52">
        <v>0.65</v>
      </c>
      <c r="L120" s="26"/>
      <c r="M120" s="27">
        <f t="shared" si="8"/>
        <v>0.64967622414467141</v>
      </c>
      <c r="N120" s="27">
        <f t="shared" si="9"/>
        <v>0.64970000000000006</v>
      </c>
      <c r="O120" s="28">
        <f t="shared" si="10"/>
        <v>0.65</v>
      </c>
      <c r="P120" s="29">
        <f t="shared" si="11"/>
        <v>0.65</v>
      </c>
      <c r="Q120" s="54">
        <f t="shared" si="12"/>
        <v>34</v>
      </c>
      <c r="S120" s="52">
        <v>0.64700000000000002</v>
      </c>
    </row>
    <row r="121" spans="1:19" s="30" customFormat="1" ht="13" x14ac:dyDescent="0.2">
      <c r="A121" s="41"/>
      <c r="B121" s="41"/>
      <c r="C121" s="41"/>
      <c r="D121" s="41"/>
      <c r="E121" s="41"/>
      <c r="F121" s="41">
        <f t="shared" si="22"/>
        <v>39</v>
      </c>
      <c r="G121" s="49">
        <f t="shared" si="21"/>
        <v>105</v>
      </c>
      <c r="H121" s="50" t="s">
        <v>189</v>
      </c>
      <c r="I121" s="51">
        <v>61.18</v>
      </c>
      <c r="J121" s="51">
        <v>61.18</v>
      </c>
      <c r="K121" s="52">
        <v>0.65</v>
      </c>
      <c r="L121" s="26"/>
      <c r="M121" s="27">
        <f t="shared" si="8"/>
        <v>0.64988867549331253</v>
      </c>
      <c r="N121" s="27">
        <f t="shared" si="9"/>
        <v>0.64990000000000003</v>
      </c>
      <c r="O121" s="28">
        <f t="shared" si="10"/>
        <v>0.65</v>
      </c>
      <c r="P121" s="29">
        <f t="shared" si="11"/>
        <v>0.65</v>
      </c>
      <c r="Q121" s="54">
        <f t="shared" si="12"/>
        <v>34</v>
      </c>
      <c r="S121" s="52">
        <v>0.65</v>
      </c>
    </row>
    <row r="122" spans="1:19" s="30" customFormat="1" ht="13" x14ac:dyDescent="0.2">
      <c r="A122" s="41"/>
      <c r="B122" s="41"/>
      <c r="C122" s="41"/>
      <c r="D122" s="41"/>
      <c r="E122" s="41"/>
      <c r="F122" s="41">
        <f t="shared" si="22"/>
        <v>40</v>
      </c>
      <c r="G122" s="49">
        <f t="shared" si="21"/>
        <v>106</v>
      </c>
      <c r="H122" s="50" t="s">
        <v>190</v>
      </c>
      <c r="I122" s="51">
        <v>57.23</v>
      </c>
      <c r="J122" s="51">
        <v>57.23</v>
      </c>
      <c r="K122" s="52">
        <v>0.60799999999999998</v>
      </c>
      <c r="L122" s="26"/>
      <c r="M122" s="27">
        <f t="shared" si="8"/>
        <v>0.60792953413668316</v>
      </c>
      <c r="N122" s="27">
        <f t="shared" si="9"/>
        <v>0.6079</v>
      </c>
      <c r="O122" s="28">
        <f t="shared" si="10"/>
        <v>0.60799999999999998</v>
      </c>
      <c r="P122" s="29">
        <f t="shared" si="11"/>
        <v>0.61</v>
      </c>
      <c r="Q122" s="54">
        <f t="shared" si="12"/>
        <v>17</v>
      </c>
      <c r="S122" s="52">
        <v>0.65</v>
      </c>
    </row>
    <row r="123" spans="1:19" s="30" customFormat="1" ht="13" x14ac:dyDescent="0.2">
      <c r="A123" s="41"/>
      <c r="B123" s="41"/>
      <c r="C123" s="41"/>
      <c r="D123" s="41"/>
      <c r="E123" s="41"/>
      <c r="F123" s="41"/>
      <c r="G123" s="42" t="s">
        <v>74</v>
      </c>
      <c r="H123" s="42" t="s">
        <v>191</v>
      </c>
      <c r="I123" s="56"/>
      <c r="J123" s="57"/>
      <c r="K123" s="45"/>
      <c r="L123" s="26"/>
      <c r="M123" s="27"/>
      <c r="N123" s="27"/>
      <c r="O123" s="28"/>
      <c r="P123" s="29"/>
      <c r="Q123" s="54">
        <f t="shared" si="12"/>
        <v>0</v>
      </c>
      <c r="S123" s="52">
        <v>0.60799999999999998</v>
      </c>
    </row>
    <row r="124" spans="1:19" s="30" customFormat="1" x14ac:dyDescent="0.2">
      <c r="A124" s="41"/>
      <c r="B124" s="41"/>
      <c r="C124" s="41"/>
      <c r="D124" s="41"/>
      <c r="E124" s="41"/>
      <c r="F124" s="41"/>
      <c r="G124" s="46"/>
      <c r="H124" s="46" t="s">
        <v>76</v>
      </c>
      <c r="I124" s="47" t="s">
        <v>77</v>
      </c>
      <c r="J124" s="47" t="s">
        <v>78</v>
      </c>
      <c r="K124" s="48" t="s">
        <v>79</v>
      </c>
      <c r="L124" s="26"/>
      <c r="M124" s="27"/>
      <c r="N124" s="27"/>
      <c r="O124" s="28"/>
      <c r="P124" s="29"/>
      <c r="Q124" s="54">
        <f t="shared" si="12"/>
        <v>0</v>
      </c>
      <c r="S124" s="45"/>
    </row>
    <row r="125" spans="1:19" s="30" customFormat="1" ht="13" x14ac:dyDescent="0.2">
      <c r="A125" s="41"/>
      <c r="B125" s="41"/>
      <c r="C125" s="41"/>
      <c r="D125" s="41"/>
      <c r="E125" s="41"/>
      <c r="F125" s="41">
        <f>+F122+1</f>
        <v>41</v>
      </c>
      <c r="G125" s="49">
        <f>+G122+1</f>
        <v>107</v>
      </c>
      <c r="H125" s="50" t="s">
        <v>192</v>
      </c>
      <c r="I125" s="51">
        <v>57.48</v>
      </c>
      <c r="J125" s="51">
        <v>57.48</v>
      </c>
      <c r="K125" s="52">
        <v>0.61099999999999999</v>
      </c>
      <c r="L125" s="26"/>
      <c r="M125" s="27">
        <f t="shared" si="8"/>
        <v>0.61058517599469764</v>
      </c>
      <c r="N125" s="27">
        <f t="shared" si="9"/>
        <v>0.61060000000000003</v>
      </c>
      <c r="O125" s="28">
        <f t="shared" si="10"/>
        <v>0.61099999999999999</v>
      </c>
      <c r="P125" s="29">
        <f t="shared" si="11"/>
        <v>0.61</v>
      </c>
      <c r="Q125" s="54">
        <f t="shared" si="12"/>
        <v>17</v>
      </c>
      <c r="S125" s="48"/>
    </row>
    <row r="126" spans="1:19" s="30" customFormat="1" ht="13" x14ac:dyDescent="0.2">
      <c r="A126" s="41"/>
      <c r="B126" s="41"/>
      <c r="C126" s="41"/>
      <c r="D126" s="41"/>
      <c r="E126" s="41"/>
      <c r="F126" s="41">
        <f>+F125+1</f>
        <v>42</v>
      </c>
      <c r="G126" s="49">
        <f t="shared" ref="G126:G132" si="23">+G125+1</f>
        <v>108</v>
      </c>
      <c r="H126" s="50" t="s">
        <v>193</v>
      </c>
      <c r="I126" s="51">
        <v>55.76</v>
      </c>
      <c r="J126" s="51">
        <v>55.76</v>
      </c>
      <c r="K126" s="52">
        <v>0.59199999999999997</v>
      </c>
      <c r="L126" s="26"/>
      <c r="M126" s="27">
        <f t="shared" si="8"/>
        <v>0.59231436001155779</v>
      </c>
      <c r="N126" s="27">
        <f t="shared" si="9"/>
        <v>0.59230000000000005</v>
      </c>
      <c r="O126" s="28">
        <f t="shared" si="10"/>
        <v>0.59199999999999997</v>
      </c>
      <c r="P126" s="29">
        <f t="shared" si="11"/>
        <v>0.59</v>
      </c>
      <c r="Q126" s="54">
        <f t="shared" si="12"/>
        <v>17</v>
      </c>
      <c r="S126" s="52">
        <v>0.61099999999999999</v>
      </c>
    </row>
    <row r="127" spans="1:19" s="30" customFormat="1" ht="13" x14ac:dyDescent="0.2">
      <c r="A127" s="41"/>
      <c r="B127" s="41"/>
      <c r="C127" s="41"/>
      <c r="D127" s="41"/>
      <c r="E127" s="41"/>
      <c r="F127" s="41">
        <f t="shared" ref="F127:F132" si="24">+F126+1</f>
        <v>43</v>
      </c>
      <c r="G127" s="49">
        <f t="shared" si="23"/>
        <v>109</v>
      </c>
      <c r="H127" s="50" t="s">
        <v>194</v>
      </c>
      <c r="I127" s="51">
        <v>55.55</v>
      </c>
      <c r="J127" s="51">
        <v>55.55</v>
      </c>
      <c r="K127" s="52">
        <v>0.59</v>
      </c>
      <c r="L127" s="26"/>
      <c r="M127" s="27">
        <f t="shared" si="8"/>
        <v>0.59008362085082566</v>
      </c>
      <c r="N127" s="27">
        <f t="shared" si="9"/>
        <v>0.59009999999999996</v>
      </c>
      <c r="O127" s="28">
        <f t="shared" si="10"/>
        <v>0.59</v>
      </c>
      <c r="P127" s="29">
        <f t="shared" si="11"/>
        <v>0.59</v>
      </c>
      <c r="Q127" s="54">
        <f t="shared" si="12"/>
        <v>18</v>
      </c>
      <c r="S127" s="52">
        <v>0.59199999999999997</v>
      </c>
    </row>
    <row r="128" spans="1:19" s="30" customFormat="1" ht="13" x14ac:dyDescent="0.2">
      <c r="A128" s="41"/>
      <c r="B128" s="41"/>
      <c r="C128" s="41"/>
      <c r="D128" s="41"/>
      <c r="E128" s="41"/>
      <c r="F128" s="41">
        <f t="shared" si="24"/>
        <v>44</v>
      </c>
      <c r="G128" s="49">
        <f t="shared" si="23"/>
        <v>110</v>
      </c>
      <c r="H128" s="50" t="s">
        <v>195</v>
      </c>
      <c r="I128" s="51">
        <v>62.32</v>
      </c>
      <c r="J128" s="51">
        <v>62.32</v>
      </c>
      <c r="K128" s="52">
        <v>0.66200000000000003</v>
      </c>
      <c r="L128" s="26"/>
      <c r="M128" s="27">
        <f t="shared" si="8"/>
        <v>0.66199840236585872</v>
      </c>
      <c r="N128" s="27">
        <f t="shared" si="9"/>
        <v>0.66200000000000003</v>
      </c>
      <c r="O128" s="28">
        <f t="shared" si="10"/>
        <v>0.66200000000000003</v>
      </c>
      <c r="P128" s="29">
        <f t="shared" si="11"/>
        <v>0.66</v>
      </c>
      <c r="Q128" s="54">
        <f t="shared" si="12"/>
        <v>17</v>
      </c>
      <c r="S128" s="52">
        <v>0.59</v>
      </c>
    </row>
    <row r="129" spans="1:19" s="30" customFormat="1" ht="13" x14ac:dyDescent="0.2">
      <c r="A129" s="41"/>
      <c r="B129" s="41"/>
      <c r="C129" s="41"/>
      <c r="D129" s="41"/>
      <c r="E129" s="41"/>
      <c r="F129" s="41">
        <f t="shared" si="24"/>
        <v>45</v>
      </c>
      <c r="G129" s="49">
        <f t="shared" si="23"/>
        <v>111</v>
      </c>
      <c r="H129" s="50" t="s">
        <v>196</v>
      </c>
      <c r="I129" s="51">
        <v>60.95</v>
      </c>
      <c r="J129" s="51">
        <v>60.95</v>
      </c>
      <c r="K129" s="52">
        <v>0.64700000000000002</v>
      </c>
      <c r="L129" s="26"/>
      <c r="M129" s="27">
        <f t="shared" si="8"/>
        <v>0.64744548498393917</v>
      </c>
      <c r="N129" s="27">
        <f t="shared" si="9"/>
        <v>0.64739999999999998</v>
      </c>
      <c r="O129" s="28">
        <f t="shared" si="10"/>
        <v>0.64700000000000002</v>
      </c>
      <c r="P129" s="29">
        <f t="shared" si="11"/>
        <v>0.65</v>
      </c>
      <c r="Q129" s="54">
        <f t="shared" si="12"/>
        <v>17</v>
      </c>
      <c r="S129" s="52">
        <v>0.66200000000000003</v>
      </c>
    </row>
    <row r="130" spans="1:19" s="30" customFormat="1" ht="13" x14ac:dyDescent="0.2">
      <c r="A130" s="41"/>
      <c r="B130" s="41"/>
      <c r="C130" s="41"/>
      <c r="D130" s="41"/>
      <c r="E130" s="41"/>
      <c r="F130" s="41">
        <f t="shared" si="24"/>
        <v>46</v>
      </c>
      <c r="G130" s="49">
        <f t="shared" si="23"/>
        <v>112</v>
      </c>
      <c r="H130" s="50" t="s">
        <v>197</v>
      </c>
      <c r="I130" s="51">
        <v>61.16</v>
      </c>
      <c r="J130" s="51">
        <v>61.16</v>
      </c>
      <c r="K130" s="52">
        <v>0.65</v>
      </c>
      <c r="L130" s="26"/>
      <c r="M130" s="27">
        <f t="shared" si="8"/>
        <v>0.64967622414467141</v>
      </c>
      <c r="N130" s="27">
        <f t="shared" si="9"/>
        <v>0.64970000000000006</v>
      </c>
      <c r="O130" s="28">
        <f t="shared" si="10"/>
        <v>0.65</v>
      </c>
      <c r="P130" s="29">
        <f t="shared" si="11"/>
        <v>0.65</v>
      </c>
      <c r="Q130" s="54">
        <f t="shared" si="12"/>
        <v>34</v>
      </c>
      <c r="S130" s="52">
        <v>0.64700000000000002</v>
      </c>
    </row>
    <row r="131" spans="1:19" s="30" customFormat="1" ht="13" x14ac:dyDescent="0.2">
      <c r="A131" s="41"/>
      <c r="B131" s="41"/>
      <c r="C131" s="41"/>
      <c r="D131" s="41"/>
      <c r="E131" s="41"/>
      <c r="F131" s="41">
        <f t="shared" si="24"/>
        <v>47</v>
      </c>
      <c r="G131" s="49">
        <f t="shared" si="23"/>
        <v>113</v>
      </c>
      <c r="H131" s="50" t="s">
        <v>198</v>
      </c>
      <c r="I131" s="51">
        <v>61.18</v>
      </c>
      <c r="J131" s="51">
        <v>61.18</v>
      </c>
      <c r="K131" s="52">
        <v>0.65</v>
      </c>
      <c r="L131" s="26"/>
      <c r="M131" s="27">
        <f t="shared" si="8"/>
        <v>0.64988867549331253</v>
      </c>
      <c r="N131" s="27">
        <f t="shared" si="9"/>
        <v>0.64990000000000003</v>
      </c>
      <c r="O131" s="28">
        <f t="shared" si="10"/>
        <v>0.65</v>
      </c>
      <c r="P131" s="29">
        <f t="shared" si="11"/>
        <v>0.65</v>
      </c>
      <c r="Q131" s="54">
        <f t="shared" si="12"/>
        <v>34</v>
      </c>
      <c r="S131" s="52">
        <v>0.65</v>
      </c>
    </row>
    <row r="132" spans="1:19" s="30" customFormat="1" ht="13" x14ac:dyDescent="0.2">
      <c r="A132" s="41"/>
      <c r="B132" s="41"/>
      <c r="C132" s="41"/>
      <c r="D132" s="41"/>
      <c r="E132" s="41"/>
      <c r="F132" s="41">
        <f t="shared" si="24"/>
        <v>48</v>
      </c>
      <c r="G132" s="49">
        <f t="shared" si="23"/>
        <v>114</v>
      </c>
      <c r="H132" s="50" t="s">
        <v>199</v>
      </c>
      <c r="I132" s="51">
        <v>57.23</v>
      </c>
      <c r="J132" s="51">
        <v>57.23</v>
      </c>
      <c r="K132" s="52">
        <v>0.60799999999999998</v>
      </c>
      <c r="L132" s="26"/>
      <c r="M132" s="27">
        <f t="shared" si="8"/>
        <v>0.60792953413668316</v>
      </c>
      <c r="N132" s="27">
        <f t="shared" si="9"/>
        <v>0.6079</v>
      </c>
      <c r="O132" s="28">
        <f t="shared" si="10"/>
        <v>0.60799999999999998</v>
      </c>
      <c r="P132" s="29">
        <f t="shared" si="11"/>
        <v>0.61</v>
      </c>
      <c r="Q132" s="54">
        <f t="shared" si="12"/>
        <v>17</v>
      </c>
      <c r="S132" s="52">
        <v>0.65</v>
      </c>
    </row>
    <row r="133" spans="1:19" s="30" customFormat="1" ht="13" x14ac:dyDescent="0.2">
      <c r="A133" s="41"/>
      <c r="B133" s="41"/>
      <c r="C133" s="41"/>
      <c r="D133" s="41"/>
      <c r="E133" s="41"/>
      <c r="F133" s="41"/>
      <c r="G133" s="42" t="s">
        <v>74</v>
      </c>
      <c r="H133" s="42" t="s">
        <v>200</v>
      </c>
      <c r="I133" s="56"/>
      <c r="J133" s="57"/>
      <c r="K133" s="45"/>
      <c r="L133" s="26"/>
      <c r="M133" s="27"/>
      <c r="N133" s="27"/>
      <c r="O133" s="28"/>
      <c r="P133" s="29"/>
      <c r="Q133" s="54">
        <f t="shared" si="12"/>
        <v>0</v>
      </c>
      <c r="S133" s="52">
        <v>0.60799999999999998</v>
      </c>
    </row>
    <row r="134" spans="1:19" s="30" customFormat="1" x14ac:dyDescent="0.2">
      <c r="A134" s="41"/>
      <c r="B134" s="41"/>
      <c r="C134" s="41"/>
      <c r="D134" s="41"/>
      <c r="E134" s="41"/>
      <c r="F134" s="41"/>
      <c r="G134" s="46"/>
      <c r="H134" s="46" t="s">
        <v>76</v>
      </c>
      <c r="I134" s="47" t="s">
        <v>77</v>
      </c>
      <c r="J134" s="47" t="s">
        <v>78</v>
      </c>
      <c r="K134" s="48" t="s">
        <v>79</v>
      </c>
      <c r="L134" s="26"/>
      <c r="M134" s="27"/>
      <c r="N134" s="27"/>
      <c r="O134" s="28"/>
      <c r="P134" s="29"/>
      <c r="Q134" s="54">
        <f t="shared" si="12"/>
        <v>0</v>
      </c>
      <c r="S134" s="45"/>
    </row>
    <row r="135" spans="1:19" s="30" customFormat="1" ht="13" x14ac:dyDescent="0.2">
      <c r="A135" s="41"/>
      <c r="B135" s="41"/>
      <c r="C135" s="41"/>
      <c r="D135" s="41"/>
      <c r="E135" s="41"/>
      <c r="F135" s="41">
        <f>+F132+1</f>
        <v>49</v>
      </c>
      <c r="G135" s="49">
        <f>+G132+1</f>
        <v>115</v>
      </c>
      <c r="H135" s="50" t="s">
        <v>201</v>
      </c>
      <c r="I135" s="51">
        <v>57.48</v>
      </c>
      <c r="J135" s="51">
        <v>57.48</v>
      </c>
      <c r="K135" s="52">
        <v>0.61099999999999999</v>
      </c>
      <c r="L135" s="26"/>
      <c r="M135" s="27">
        <f t="shared" si="8"/>
        <v>0.61058517599469764</v>
      </c>
      <c r="N135" s="27">
        <f t="shared" si="9"/>
        <v>0.61060000000000003</v>
      </c>
      <c r="O135" s="28">
        <f t="shared" si="10"/>
        <v>0.61099999999999999</v>
      </c>
      <c r="P135" s="29">
        <f t="shared" si="11"/>
        <v>0.61</v>
      </c>
      <c r="Q135" s="54">
        <f t="shared" si="12"/>
        <v>17</v>
      </c>
      <c r="S135" s="48"/>
    </row>
    <row r="136" spans="1:19" s="30" customFormat="1" ht="13" x14ac:dyDescent="0.2">
      <c r="A136" s="41"/>
      <c r="B136" s="41"/>
      <c r="C136" s="41"/>
      <c r="D136" s="41"/>
      <c r="E136" s="41"/>
      <c r="F136" s="41">
        <f>+F135+1</f>
        <v>50</v>
      </c>
      <c r="G136" s="49">
        <f t="shared" ref="G136:G142" si="25">+G135+1</f>
        <v>116</v>
      </c>
      <c r="H136" s="50" t="s">
        <v>202</v>
      </c>
      <c r="I136" s="51">
        <v>55.76</v>
      </c>
      <c r="J136" s="51">
        <v>55.76</v>
      </c>
      <c r="K136" s="52">
        <v>0.59199999999999997</v>
      </c>
      <c r="L136" s="26"/>
      <c r="M136" s="27">
        <f t="shared" ref="M136:M199" si="26">+I136*100/$I$253</f>
        <v>0.59231436001155779</v>
      </c>
      <c r="N136" s="27">
        <f t="shared" ref="N136:N199" si="27">+ROUND(M136,4)</f>
        <v>0.59230000000000005</v>
      </c>
      <c r="O136" s="28">
        <f t="shared" ref="O136:O199" si="28">+ROUND(M136,3)</f>
        <v>0.59199999999999997</v>
      </c>
      <c r="P136" s="29">
        <f t="shared" ref="P136:P199" si="29">+ROUND(M136,2)</f>
        <v>0.59</v>
      </c>
      <c r="Q136" s="54">
        <f t="shared" ref="Q136:Q199" si="30">+COUNTIF($O$7:$O$252,O136)</f>
        <v>17</v>
      </c>
      <c r="S136" s="52">
        <v>0.61099999999999999</v>
      </c>
    </row>
    <row r="137" spans="1:19" s="30" customFormat="1" ht="13" x14ac:dyDescent="0.2">
      <c r="A137" s="41"/>
      <c r="B137" s="41"/>
      <c r="C137" s="41"/>
      <c r="D137" s="41"/>
      <c r="E137" s="41"/>
      <c r="F137" s="41">
        <f t="shared" ref="F137:F142" si="31">+F136+1</f>
        <v>51</v>
      </c>
      <c r="G137" s="49">
        <f t="shared" si="25"/>
        <v>117</v>
      </c>
      <c r="H137" s="50" t="s">
        <v>203</v>
      </c>
      <c r="I137" s="51">
        <v>55.55</v>
      </c>
      <c r="J137" s="51">
        <v>55.55</v>
      </c>
      <c r="K137" s="52">
        <v>0.59</v>
      </c>
      <c r="L137" s="26"/>
      <c r="M137" s="27">
        <f t="shared" si="26"/>
        <v>0.59008362085082566</v>
      </c>
      <c r="N137" s="27">
        <f t="shared" si="27"/>
        <v>0.59009999999999996</v>
      </c>
      <c r="O137" s="28">
        <f t="shared" si="28"/>
        <v>0.59</v>
      </c>
      <c r="P137" s="29">
        <f t="shared" si="29"/>
        <v>0.59</v>
      </c>
      <c r="Q137" s="54">
        <f t="shared" si="30"/>
        <v>18</v>
      </c>
      <c r="S137" s="52">
        <v>0.59199999999999997</v>
      </c>
    </row>
    <row r="138" spans="1:19" s="30" customFormat="1" ht="13" x14ac:dyDescent="0.2">
      <c r="A138" s="41"/>
      <c r="B138" s="41"/>
      <c r="C138" s="41"/>
      <c r="D138" s="41"/>
      <c r="E138" s="41"/>
      <c r="F138" s="41">
        <f t="shared" si="31"/>
        <v>52</v>
      </c>
      <c r="G138" s="49">
        <f t="shared" si="25"/>
        <v>118</v>
      </c>
      <c r="H138" s="50" t="s">
        <v>204</v>
      </c>
      <c r="I138" s="51">
        <v>62.32</v>
      </c>
      <c r="J138" s="51">
        <v>62.32</v>
      </c>
      <c r="K138" s="52">
        <v>0.66200000000000003</v>
      </c>
      <c r="L138" s="26"/>
      <c r="M138" s="27">
        <f t="shared" si="26"/>
        <v>0.66199840236585872</v>
      </c>
      <c r="N138" s="27">
        <f t="shared" si="27"/>
        <v>0.66200000000000003</v>
      </c>
      <c r="O138" s="28">
        <f t="shared" si="28"/>
        <v>0.66200000000000003</v>
      </c>
      <c r="P138" s="29">
        <f t="shared" si="29"/>
        <v>0.66</v>
      </c>
      <c r="Q138" s="54">
        <f t="shared" si="30"/>
        <v>17</v>
      </c>
      <c r="S138" s="52">
        <v>0.59</v>
      </c>
    </row>
    <row r="139" spans="1:19" s="30" customFormat="1" ht="13" x14ac:dyDescent="0.2">
      <c r="A139" s="41"/>
      <c r="B139" s="41"/>
      <c r="C139" s="41"/>
      <c r="D139" s="41"/>
      <c r="E139" s="41"/>
      <c r="F139" s="41">
        <f t="shared" si="31"/>
        <v>53</v>
      </c>
      <c r="G139" s="49">
        <f t="shared" si="25"/>
        <v>119</v>
      </c>
      <c r="H139" s="50" t="s">
        <v>205</v>
      </c>
      <c r="I139" s="51">
        <v>60.95</v>
      </c>
      <c r="J139" s="51">
        <v>60.95</v>
      </c>
      <c r="K139" s="52">
        <v>0.64700000000000002</v>
      </c>
      <c r="L139" s="26"/>
      <c r="M139" s="27">
        <f t="shared" si="26"/>
        <v>0.64744548498393917</v>
      </c>
      <c r="N139" s="27">
        <f t="shared" si="27"/>
        <v>0.64739999999999998</v>
      </c>
      <c r="O139" s="28">
        <f t="shared" si="28"/>
        <v>0.64700000000000002</v>
      </c>
      <c r="P139" s="29">
        <f t="shared" si="29"/>
        <v>0.65</v>
      </c>
      <c r="Q139" s="54">
        <f t="shared" si="30"/>
        <v>17</v>
      </c>
      <c r="S139" s="52">
        <v>0.66200000000000003</v>
      </c>
    </row>
    <row r="140" spans="1:19" s="30" customFormat="1" ht="13" x14ac:dyDescent="0.2">
      <c r="A140" s="41"/>
      <c r="B140" s="41"/>
      <c r="C140" s="41"/>
      <c r="D140" s="41"/>
      <c r="E140" s="41"/>
      <c r="F140" s="41">
        <f t="shared" si="31"/>
        <v>54</v>
      </c>
      <c r="G140" s="49">
        <f t="shared" si="25"/>
        <v>120</v>
      </c>
      <c r="H140" s="50" t="s">
        <v>206</v>
      </c>
      <c r="I140" s="51">
        <v>61.16</v>
      </c>
      <c r="J140" s="51">
        <v>61.16</v>
      </c>
      <c r="K140" s="52">
        <v>0.65</v>
      </c>
      <c r="L140" s="26"/>
      <c r="M140" s="27">
        <f t="shared" si="26"/>
        <v>0.64967622414467141</v>
      </c>
      <c r="N140" s="27">
        <f t="shared" si="27"/>
        <v>0.64970000000000006</v>
      </c>
      <c r="O140" s="28">
        <f t="shared" si="28"/>
        <v>0.65</v>
      </c>
      <c r="P140" s="29">
        <f t="shared" si="29"/>
        <v>0.65</v>
      </c>
      <c r="Q140" s="54">
        <f t="shared" si="30"/>
        <v>34</v>
      </c>
      <c r="S140" s="52">
        <v>0.64700000000000002</v>
      </c>
    </row>
    <row r="141" spans="1:19" s="30" customFormat="1" ht="13" x14ac:dyDescent="0.2">
      <c r="A141" s="41"/>
      <c r="B141" s="41"/>
      <c r="C141" s="41"/>
      <c r="D141" s="41"/>
      <c r="E141" s="41"/>
      <c r="F141" s="41">
        <f t="shared" si="31"/>
        <v>55</v>
      </c>
      <c r="G141" s="49">
        <f t="shared" si="25"/>
        <v>121</v>
      </c>
      <c r="H141" s="50" t="s">
        <v>207</v>
      </c>
      <c r="I141" s="51">
        <v>61.18</v>
      </c>
      <c r="J141" s="51">
        <v>61.18</v>
      </c>
      <c r="K141" s="52">
        <v>0.65</v>
      </c>
      <c r="L141" s="26"/>
      <c r="M141" s="27">
        <f t="shared" si="26"/>
        <v>0.64988867549331253</v>
      </c>
      <c r="N141" s="27">
        <f t="shared" si="27"/>
        <v>0.64990000000000003</v>
      </c>
      <c r="O141" s="28">
        <f t="shared" si="28"/>
        <v>0.65</v>
      </c>
      <c r="P141" s="29">
        <f t="shared" si="29"/>
        <v>0.65</v>
      </c>
      <c r="Q141" s="54">
        <f t="shared" si="30"/>
        <v>34</v>
      </c>
      <c r="S141" s="52">
        <v>0.65</v>
      </c>
    </row>
    <row r="142" spans="1:19" s="30" customFormat="1" ht="13" x14ac:dyDescent="0.2">
      <c r="A142" s="41"/>
      <c r="B142" s="41"/>
      <c r="C142" s="41"/>
      <c r="D142" s="41"/>
      <c r="E142" s="41"/>
      <c r="F142" s="41">
        <f t="shared" si="31"/>
        <v>56</v>
      </c>
      <c r="G142" s="49">
        <f t="shared" si="25"/>
        <v>122</v>
      </c>
      <c r="H142" s="50" t="s">
        <v>208</v>
      </c>
      <c r="I142" s="51">
        <v>57.23</v>
      </c>
      <c r="J142" s="51">
        <v>57.23</v>
      </c>
      <c r="K142" s="52">
        <v>0.60799999999999998</v>
      </c>
      <c r="L142" s="26"/>
      <c r="M142" s="27">
        <f t="shared" si="26"/>
        <v>0.60792953413668316</v>
      </c>
      <c r="N142" s="27">
        <f t="shared" si="27"/>
        <v>0.6079</v>
      </c>
      <c r="O142" s="28">
        <f t="shared" si="28"/>
        <v>0.60799999999999998</v>
      </c>
      <c r="P142" s="29">
        <f t="shared" si="29"/>
        <v>0.61</v>
      </c>
      <c r="Q142" s="54">
        <f t="shared" si="30"/>
        <v>17</v>
      </c>
      <c r="S142" s="52">
        <v>0.65</v>
      </c>
    </row>
    <row r="143" spans="1:19" s="30" customFormat="1" ht="13" x14ac:dyDescent="0.2">
      <c r="A143" s="41"/>
      <c r="B143" s="41"/>
      <c r="C143" s="41"/>
      <c r="D143" s="41"/>
      <c r="E143" s="41"/>
      <c r="F143" s="41"/>
      <c r="G143" s="42" t="s">
        <v>74</v>
      </c>
      <c r="H143" s="42" t="s">
        <v>209</v>
      </c>
      <c r="I143" s="56"/>
      <c r="J143" s="57"/>
      <c r="K143" s="45"/>
      <c r="L143" s="26"/>
      <c r="M143" s="27"/>
      <c r="N143" s="27"/>
      <c r="O143" s="28"/>
      <c r="P143" s="29"/>
      <c r="Q143" s="54">
        <f t="shared" si="30"/>
        <v>0</v>
      </c>
      <c r="S143" s="52">
        <v>0.60799999999999998</v>
      </c>
    </row>
    <row r="144" spans="1:19" s="30" customFormat="1" x14ac:dyDescent="0.2">
      <c r="A144" s="41"/>
      <c r="B144" s="41"/>
      <c r="C144" s="41"/>
      <c r="D144" s="41"/>
      <c r="E144" s="41"/>
      <c r="F144" s="41"/>
      <c r="G144" s="46"/>
      <c r="H144" s="46" t="s">
        <v>76</v>
      </c>
      <c r="I144" s="47" t="s">
        <v>77</v>
      </c>
      <c r="J144" s="47" t="s">
        <v>78</v>
      </c>
      <c r="K144" s="48" t="s">
        <v>79</v>
      </c>
      <c r="L144" s="26"/>
      <c r="M144" s="27"/>
      <c r="N144" s="27"/>
      <c r="O144" s="28"/>
      <c r="P144" s="29"/>
      <c r="Q144" s="54">
        <f t="shared" si="30"/>
        <v>0</v>
      </c>
      <c r="S144" s="45"/>
    </row>
    <row r="145" spans="1:19" s="30" customFormat="1" ht="13" x14ac:dyDescent="0.2">
      <c r="A145" s="41"/>
      <c r="B145" s="41"/>
      <c r="C145" s="41"/>
      <c r="D145" s="41"/>
      <c r="E145" s="41"/>
      <c r="F145" s="41">
        <f>+F142+1</f>
        <v>57</v>
      </c>
      <c r="G145" s="49">
        <f>+G142+1</f>
        <v>123</v>
      </c>
      <c r="H145" s="50" t="s">
        <v>210</v>
      </c>
      <c r="I145" s="51">
        <v>57.48</v>
      </c>
      <c r="J145" s="51">
        <v>57.48</v>
      </c>
      <c r="K145" s="52">
        <v>0.61099999999999999</v>
      </c>
      <c r="L145" s="26"/>
      <c r="M145" s="27">
        <f t="shared" si="26"/>
        <v>0.61058517599469764</v>
      </c>
      <c r="N145" s="27">
        <f t="shared" si="27"/>
        <v>0.61060000000000003</v>
      </c>
      <c r="O145" s="28">
        <f t="shared" si="28"/>
        <v>0.61099999999999999</v>
      </c>
      <c r="P145" s="29">
        <f t="shared" si="29"/>
        <v>0.61</v>
      </c>
      <c r="Q145" s="54">
        <f t="shared" si="30"/>
        <v>17</v>
      </c>
      <c r="S145" s="48"/>
    </row>
    <row r="146" spans="1:19" s="30" customFormat="1" ht="13" x14ac:dyDescent="0.2">
      <c r="A146" s="41"/>
      <c r="B146" s="41"/>
      <c r="C146" s="41"/>
      <c r="D146" s="41"/>
      <c r="E146" s="41"/>
      <c r="F146" s="41">
        <f>+F145+1</f>
        <v>58</v>
      </c>
      <c r="G146" s="49">
        <f t="shared" ref="G146:G152" si="32">+G145+1</f>
        <v>124</v>
      </c>
      <c r="H146" s="50" t="s">
        <v>211</v>
      </c>
      <c r="I146" s="51">
        <v>55.76</v>
      </c>
      <c r="J146" s="51">
        <v>55.76</v>
      </c>
      <c r="K146" s="52">
        <v>0.59199999999999997</v>
      </c>
      <c r="L146" s="26"/>
      <c r="M146" s="27">
        <f t="shared" si="26"/>
        <v>0.59231436001155779</v>
      </c>
      <c r="N146" s="27">
        <f t="shared" si="27"/>
        <v>0.59230000000000005</v>
      </c>
      <c r="O146" s="28">
        <f t="shared" si="28"/>
        <v>0.59199999999999997</v>
      </c>
      <c r="P146" s="29">
        <f t="shared" si="29"/>
        <v>0.59</v>
      </c>
      <c r="Q146" s="54">
        <f t="shared" si="30"/>
        <v>17</v>
      </c>
      <c r="S146" s="52">
        <v>0.61099999999999999</v>
      </c>
    </row>
    <row r="147" spans="1:19" s="30" customFormat="1" ht="13" x14ac:dyDescent="0.2">
      <c r="A147" s="41"/>
      <c r="B147" s="41"/>
      <c r="C147" s="41"/>
      <c r="D147" s="41"/>
      <c r="E147" s="41"/>
      <c r="F147" s="41">
        <f t="shared" ref="F147:F152" si="33">+F146+1</f>
        <v>59</v>
      </c>
      <c r="G147" s="49">
        <f t="shared" si="32"/>
        <v>125</v>
      </c>
      <c r="H147" s="50" t="s">
        <v>212</v>
      </c>
      <c r="I147" s="51">
        <v>55.55</v>
      </c>
      <c r="J147" s="51">
        <v>55.55</v>
      </c>
      <c r="K147" s="52">
        <v>0.59</v>
      </c>
      <c r="L147" s="26"/>
      <c r="M147" s="27">
        <f t="shared" si="26"/>
        <v>0.59008362085082566</v>
      </c>
      <c r="N147" s="27">
        <f t="shared" si="27"/>
        <v>0.59009999999999996</v>
      </c>
      <c r="O147" s="28">
        <f t="shared" si="28"/>
        <v>0.59</v>
      </c>
      <c r="P147" s="29">
        <f t="shared" si="29"/>
        <v>0.59</v>
      </c>
      <c r="Q147" s="54">
        <f t="shared" si="30"/>
        <v>18</v>
      </c>
      <c r="S147" s="52">
        <v>0.59199999999999997</v>
      </c>
    </row>
    <row r="148" spans="1:19" s="30" customFormat="1" ht="13" x14ac:dyDescent="0.2">
      <c r="A148" s="41"/>
      <c r="B148" s="41"/>
      <c r="C148" s="41"/>
      <c r="D148" s="41"/>
      <c r="E148" s="41"/>
      <c r="F148" s="41">
        <f t="shared" si="33"/>
        <v>60</v>
      </c>
      <c r="G148" s="49">
        <f t="shared" si="32"/>
        <v>126</v>
      </c>
      <c r="H148" s="50" t="s">
        <v>213</v>
      </c>
      <c r="I148" s="51">
        <v>62.32</v>
      </c>
      <c r="J148" s="51">
        <v>62.32</v>
      </c>
      <c r="K148" s="52">
        <v>0.66200000000000003</v>
      </c>
      <c r="L148" s="26"/>
      <c r="M148" s="27">
        <f t="shared" si="26"/>
        <v>0.66199840236585872</v>
      </c>
      <c r="N148" s="27">
        <f t="shared" si="27"/>
        <v>0.66200000000000003</v>
      </c>
      <c r="O148" s="28">
        <f t="shared" si="28"/>
        <v>0.66200000000000003</v>
      </c>
      <c r="P148" s="29">
        <f t="shared" si="29"/>
        <v>0.66</v>
      </c>
      <c r="Q148" s="54">
        <f t="shared" si="30"/>
        <v>17</v>
      </c>
      <c r="S148" s="52">
        <v>0.59</v>
      </c>
    </row>
    <row r="149" spans="1:19" s="30" customFormat="1" ht="13" x14ac:dyDescent="0.2">
      <c r="A149" s="41"/>
      <c r="B149" s="41"/>
      <c r="C149" s="41"/>
      <c r="D149" s="41"/>
      <c r="E149" s="41"/>
      <c r="F149" s="41">
        <f t="shared" si="33"/>
        <v>61</v>
      </c>
      <c r="G149" s="49">
        <f t="shared" si="32"/>
        <v>127</v>
      </c>
      <c r="H149" s="50" t="s">
        <v>214</v>
      </c>
      <c r="I149" s="51">
        <v>60.95</v>
      </c>
      <c r="J149" s="51">
        <v>60.95</v>
      </c>
      <c r="K149" s="52">
        <v>0.64700000000000002</v>
      </c>
      <c r="L149" s="26"/>
      <c r="M149" s="27">
        <f t="shared" si="26"/>
        <v>0.64744548498393917</v>
      </c>
      <c r="N149" s="27">
        <f t="shared" si="27"/>
        <v>0.64739999999999998</v>
      </c>
      <c r="O149" s="28">
        <f t="shared" si="28"/>
        <v>0.64700000000000002</v>
      </c>
      <c r="P149" s="29">
        <f t="shared" si="29"/>
        <v>0.65</v>
      </c>
      <c r="Q149" s="54">
        <f t="shared" si="30"/>
        <v>17</v>
      </c>
      <c r="S149" s="52">
        <v>0.66200000000000003</v>
      </c>
    </row>
    <row r="150" spans="1:19" s="30" customFormat="1" ht="13" x14ac:dyDescent="0.2">
      <c r="A150" s="41"/>
      <c r="B150" s="41"/>
      <c r="C150" s="41"/>
      <c r="D150" s="41"/>
      <c r="E150" s="41"/>
      <c r="F150" s="41">
        <f t="shared" si="33"/>
        <v>62</v>
      </c>
      <c r="G150" s="49">
        <f t="shared" si="32"/>
        <v>128</v>
      </c>
      <c r="H150" s="50" t="s">
        <v>215</v>
      </c>
      <c r="I150" s="51">
        <v>61.16</v>
      </c>
      <c r="J150" s="51">
        <v>61.16</v>
      </c>
      <c r="K150" s="52">
        <v>0.65</v>
      </c>
      <c r="L150" s="26"/>
      <c r="M150" s="27">
        <f t="shared" si="26"/>
        <v>0.64967622414467141</v>
      </c>
      <c r="N150" s="27">
        <f t="shared" si="27"/>
        <v>0.64970000000000006</v>
      </c>
      <c r="O150" s="28">
        <f t="shared" si="28"/>
        <v>0.65</v>
      </c>
      <c r="P150" s="29">
        <f t="shared" si="29"/>
        <v>0.65</v>
      </c>
      <c r="Q150" s="54">
        <f t="shared" si="30"/>
        <v>34</v>
      </c>
      <c r="S150" s="52">
        <v>0.64700000000000002</v>
      </c>
    </row>
    <row r="151" spans="1:19" s="30" customFormat="1" ht="13" x14ac:dyDescent="0.2">
      <c r="A151" s="41"/>
      <c r="B151" s="41"/>
      <c r="C151" s="41"/>
      <c r="D151" s="41"/>
      <c r="E151" s="41"/>
      <c r="F151" s="41">
        <f t="shared" si="33"/>
        <v>63</v>
      </c>
      <c r="G151" s="49">
        <f t="shared" si="32"/>
        <v>129</v>
      </c>
      <c r="H151" s="50" t="s">
        <v>216</v>
      </c>
      <c r="I151" s="51">
        <v>61.18</v>
      </c>
      <c r="J151" s="51">
        <v>61.18</v>
      </c>
      <c r="K151" s="52">
        <v>0.65</v>
      </c>
      <c r="L151" s="26"/>
      <c r="M151" s="27">
        <f t="shared" si="26"/>
        <v>0.64988867549331253</v>
      </c>
      <c r="N151" s="27">
        <f t="shared" si="27"/>
        <v>0.64990000000000003</v>
      </c>
      <c r="O151" s="28">
        <f t="shared" si="28"/>
        <v>0.65</v>
      </c>
      <c r="P151" s="29">
        <f t="shared" si="29"/>
        <v>0.65</v>
      </c>
      <c r="Q151" s="54">
        <f t="shared" si="30"/>
        <v>34</v>
      </c>
      <c r="S151" s="52">
        <v>0.65</v>
      </c>
    </row>
    <row r="152" spans="1:19" s="30" customFormat="1" ht="13" x14ac:dyDescent="0.2">
      <c r="A152" s="41"/>
      <c r="B152" s="41"/>
      <c r="C152" s="41"/>
      <c r="D152" s="41"/>
      <c r="E152" s="41"/>
      <c r="F152" s="41">
        <f t="shared" si="33"/>
        <v>64</v>
      </c>
      <c r="G152" s="49">
        <f t="shared" si="32"/>
        <v>130</v>
      </c>
      <c r="H152" s="50" t="s">
        <v>217</v>
      </c>
      <c r="I152" s="51">
        <v>57.23</v>
      </c>
      <c r="J152" s="51">
        <v>57.23</v>
      </c>
      <c r="K152" s="52">
        <v>0.60799999999999998</v>
      </c>
      <c r="L152" s="26"/>
      <c r="M152" s="27">
        <f t="shared" si="26"/>
        <v>0.60792953413668316</v>
      </c>
      <c r="N152" s="27">
        <f t="shared" si="27"/>
        <v>0.6079</v>
      </c>
      <c r="O152" s="28">
        <f t="shared" si="28"/>
        <v>0.60799999999999998</v>
      </c>
      <c r="P152" s="29">
        <f t="shared" si="29"/>
        <v>0.61</v>
      </c>
      <c r="Q152" s="54">
        <f t="shared" si="30"/>
        <v>17</v>
      </c>
      <c r="S152" s="52">
        <v>0.65</v>
      </c>
    </row>
    <row r="153" spans="1:19" s="30" customFormat="1" ht="13" x14ac:dyDescent="0.2">
      <c r="A153" s="41"/>
      <c r="B153" s="41"/>
      <c r="C153" s="41"/>
      <c r="D153" s="41"/>
      <c r="E153" s="41"/>
      <c r="F153" s="41"/>
      <c r="G153" s="42" t="s">
        <v>74</v>
      </c>
      <c r="H153" s="42" t="s">
        <v>218</v>
      </c>
      <c r="I153" s="56"/>
      <c r="J153" s="57"/>
      <c r="K153" s="45"/>
      <c r="L153" s="26"/>
      <c r="M153" s="27"/>
      <c r="N153" s="27"/>
      <c r="O153" s="28"/>
      <c r="P153" s="29"/>
      <c r="Q153" s="54">
        <f t="shared" si="30"/>
        <v>0</v>
      </c>
      <c r="S153" s="52">
        <v>0.60799999999999998</v>
      </c>
    </row>
    <row r="154" spans="1:19" s="30" customFormat="1" x14ac:dyDescent="0.2">
      <c r="A154" s="41"/>
      <c r="B154" s="41"/>
      <c r="C154" s="41"/>
      <c r="D154" s="41"/>
      <c r="E154" s="41"/>
      <c r="F154" s="41"/>
      <c r="G154" s="46"/>
      <c r="H154" s="46" t="s">
        <v>76</v>
      </c>
      <c r="I154" s="47" t="s">
        <v>77</v>
      </c>
      <c r="J154" s="47" t="s">
        <v>78</v>
      </c>
      <c r="K154" s="48" t="s">
        <v>79</v>
      </c>
      <c r="L154" s="26"/>
      <c r="M154" s="27"/>
      <c r="N154" s="27"/>
      <c r="O154" s="28"/>
      <c r="P154" s="29"/>
      <c r="Q154" s="54">
        <f t="shared" si="30"/>
        <v>0</v>
      </c>
      <c r="S154" s="45"/>
    </row>
    <row r="155" spans="1:19" s="30" customFormat="1" ht="13" x14ac:dyDescent="0.2">
      <c r="A155" s="41"/>
      <c r="B155" s="41"/>
      <c r="C155" s="41"/>
      <c r="D155" s="41"/>
      <c r="E155" s="41"/>
      <c r="F155" s="41">
        <f>+F152+1</f>
        <v>65</v>
      </c>
      <c r="G155" s="49">
        <f>+G152+1</f>
        <v>131</v>
      </c>
      <c r="H155" s="50" t="s">
        <v>219</v>
      </c>
      <c r="I155" s="51">
        <v>57.48</v>
      </c>
      <c r="J155" s="51">
        <v>57.48</v>
      </c>
      <c r="K155" s="52">
        <v>0.61099999999999999</v>
      </c>
      <c r="L155" s="26"/>
      <c r="M155" s="27">
        <f t="shared" si="26"/>
        <v>0.61058517599469764</v>
      </c>
      <c r="N155" s="27">
        <f t="shared" si="27"/>
        <v>0.61060000000000003</v>
      </c>
      <c r="O155" s="28">
        <f t="shared" si="28"/>
        <v>0.61099999999999999</v>
      </c>
      <c r="P155" s="29">
        <f t="shared" si="29"/>
        <v>0.61</v>
      </c>
      <c r="Q155" s="54">
        <f t="shared" si="30"/>
        <v>17</v>
      </c>
      <c r="S155" s="48"/>
    </row>
    <row r="156" spans="1:19" s="30" customFormat="1" ht="13" x14ac:dyDescent="0.2">
      <c r="A156" s="41"/>
      <c r="B156" s="41"/>
      <c r="C156" s="41"/>
      <c r="D156" s="41"/>
      <c r="E156" s="41"/>
      <c r="F156" s="41">
        <f>+F155+1</f>
        <v>66</v>
      </c>
      <c r="G156" s="49">
        <f t="shared" ref="G156:G162" si="34">+G155+1</f>
        <v>132</v>
      </c>
      <c r="H156" s="50" t="s">
        <v>220</v>
      </c>
      <c r="I156" s="51">
        <v>55.76</v>
      </c>
      <c r="J156" s="51">
        <v>55.76</v>
      </c>
      <c r="K156" s="52">
        <v>0.59199999999999997</v>
      </c>
      <c r="L156" s="26"/>
      <c r="M156" s="27">
        <f t="shared" si="26"/>
        <v>0.59231436001155779</v>
      </c>
      <c r="N156" s="27">
        <f t="shared" si="27"/>
        <v>0.59230000000000005</v>
      </c>
      <c r="O156" s="28">
        <f t="shared" si="28"/>
        <v>0.59199999999999997</v>
      </c>
      <c r="P156" s="29">
        <f t="shared" si="29"/>
        <v>0.59</v>
      </c>
      <c r="Q156" s="54">
        <f t="shared" si="30"/>
        <v>17</v>
      </c>
      <c r="S156" s="52">
        <v>0.61099999999999999</v>
      </c>
    </row>
    <row r="157" spans="1:19" s="30" customFormat="1" ht="13" x14ac:dyDescent="0.2">
      <c r="A157" s="41"/>
      <c r="B157" s="41"/>
      <c r="C157" s="41"/>
      <c r="D157" s="41"/>
      <c r="E157" s="41"/>
      <c r="F157" s="41">
        <f t="shared" ref="F157:F162" si="35">+F156+1</f>
        <v>67</v>
      </c>
      <c r="G157" s="49">
        <f t="shared" si="34"/>
        <v>133</v>
      </c>
      <c r="H157" s="50" t="s">
        <v>221</v>
      </c>
      <c r="I157" s="51">
        <v>55.55</v>
      </c>
      <c r="J157" s="51">
        <v>55.55</v>
      </c>
      <c r="K157" s="52">
        <v>0.59</v>
      </c>
      <c r="L157" s="26"/>
      <c r="M157" s="27">
        <f t="shared" si="26"/>
        <v>0.59008362085082566</v>
      </c>
      <c r="N157" s="27">
        <f t="shared" si="27"/>
        <v>0.59009999999999996</v>
      </c>
      <c r="O157" s="28">
        <f t="shared" si="28"/>
        <v>0.59</v>
      </c>
      <c r="P157" s="29">
        <f t="shared" si="29"/>
        <v>0.59</v>
      </c>
      <c r="Q157" s="54">
        <f t="shared" si="30"/>
        <v>18</v>
      </c>
      <c r="S157" s="52">
        <v>0.59199999999999997</v>
      </c>
    </row>
    <row r="158" spans="1:19" s="30" customFormat="1" ht="13" x14ac:dyDescent="0.2">
      <c r="A158" s="41"/>
      <c r="B158" s="41"/>
      <c r="C158" s="41"/>
      <c r="D158" s="41"/>
      <c r="E158" s="41"/>
      <c r="F158" s="41">
        <f t="shared" si="35"/>
        <v>68</v>
      </c>
      <c r="G158" s="49">
        <f t="shared" si="34"/>
        <v>134</v>
      </c>
      <c r="H158" s="50" t="s">
        <v>222</v>
      </c>
      <c r="I158" s="51">
        <v>62.32</v>
      </c>
      <c r="J158" s="51">
        <v>62.32</v>
      </c>
      <c r="K158" s="52">
        <v>0.66200000000000003</v>
      </c>
      <c r="L158" s="26"/>
      <c r="M158" s="27">
        <f t="shared" si="26"/>
        <v>0.66199840236585872</v>
      </c>
      <c r="N158" s="27">
        <f t="shared" si="27"/>
        <v>0.66200000000000003</v>
      </c>
      <c r="O158" s="28">
        <f t="shared" si="28"/>
        <v>0.66200000000000003</v>
      </c>
      <c r="P158" s="29">
        <f t="shared" si="29"/>
        <v>0.66</v>
      </c>
      <c r="Q158" s="54">
        <f t="shared" si="30"/>
        <v>17</v>
      </c>
      <c r="S158" s="52">
        <v>0.59</v>
      </c>
    </row>
    <row r="159" spans="1:19" s="30" customFormat="1" ht="13" x14ac:dyDescent="0.2">
      <c r="A159" s="41"/>
      <c r="B159" s="41"/>
      <c r="C159" s="41"/>
      <c r="D159" s="41"/>
      <c r="E159" s="41"/>
      <c r="F159" s="41">
        <f t="shared" si="35"/>
        <v>69</v>
      </c>
      <c r="G159" s="49">
        <f t="shared" si="34"/>
        <v>135</v>
      </c>
      <c r="H159" s="50" t="s">
        <v>223</v>
      </c>
      <c r="I159" s="51">
        <v>60.95</v>
      </c>
      <c r="J159" s="51">
        <v>60.95</v>
      </c>
      <c r="K159" s="52">
        <v>0.64700000000000002</v>
      </c>
      <c r="L159" s="26"/>
      <c r="M159" s="27">
        <f t="shared" si="26"/>
        <v>0.64744548498393917</v>
      </c>
      <c r="N159" s="27">
        <f t="shared" si="27"/>
        <v>0.64739999999999998</v>
      </c>
      <c r="O159" s="28">
        <f t="shared" si="28"/>
        <v>0.64700000000000002</v>
      </c>
      <c r="P159" s="29">
        <f t="shared" si="29"/>
        <v>0.65</v>
      </c>
      <c r="Q159" s="54">
        <f t="shared" si="30"/>
        <v>17</v>
      </c>
      <c r="S159" s="52">
        <v>0.66200000000000003</v>
      </c>
    </row>
    <row r="160" spans="1:19" s="30" customFormat="1" ht="13" x14ac:dyDescent="0.2">
      <c r="A160" s="41"/>
      <c r="B160" s="41"/>
      <c r="C160" s="41"/>
      <c r="D160" s="41"/>
      <c r="E160" s="41"/>
      <c r="F160" s="41">
        <f t="shared" si="35"/>
        <v>70</v>
      </c>
      <c r="G160" s="49">
        <f t="shared" si="34"/>
        <v>136</v>
      </c>
      <c r="H160" s="50" t="s">
        <v>224</v>
      </c>
      <c r="I160" s="51">
        <v>61.16</v>
      </c>
      <c r="J160" s="51">
        <v>61.16</v>
      </c>
      <c r="K160" s="52">
        <v>0.65</v>
      </c>
      <c r="L160" s="26"/>
      <c r="M160" s="27">
        <f t="shared" si="26"/>
        <v>0.64967622414467141</v>
      </c>
      <c r="N160" s="27">
        <f t="shared" si="27"/>
        <v>0.64970000000000006</v>
      </c>
      <c r="O160" s="28">
        <f t="shared" si="28"/>
        <v>0.65</v>
      </c>
      <c r="P160" s="29">
        <f t="shared" si="29"/>
        <v>0.65</v>
      </c>
      <c r="Q160" s="54">
        <f t="shared" si="30"/>
        <v>34</v>
      </c>
      <c r="S160" s="52">
        <v>0.64700000000000002</v>
      </c>
    </row>
    <row r="161" spans="1:19" s="30" customFormat="1" ht="13" x14ac:dyDescent="0.2">
      <c r="A161" s="41"/>
      <c r="B161" s="41"/>
      <c r="C161" s="41"/>
      <c r="D161" s="41"/>
      <c r="E161" s="41"/>
      <c r="F161" s="41">
        <f t="shared" si="35"/>
        <v>71</v>
      </c>
      <c r="G161" s="49">
        <f t="shared" si="34"/>
        <v>137</v>
      </c>
      <c r="H161" s="50" t="s">
        <v>225</v>
      </c>
      <c r="I161" s="51">
        <v>61.18</v>
      </c>
      <c r="J161" s="51">
        <v>61.18</v>
      </c>
      <c r="K161" s="52">
        <v>0.65</v>
      </c>
      <c r="L161" s="26"/>
      <c r="M161" s="27">
        <f t="shared" si="26"/>
        <v>0.64988867549331253</v>
      </c>
      <c r="N161" s="27">
        <f t="shared" si="27"/>
        <v>0.64990000000000003</v>
      </c>
      <c r="O161" s="28">
        <f t="shared" si="28"/>
        <v>0.65</v>
      </c>
      <c r="P161" s="29">
        <f t="shared" si="29"/>
        <v>0.65</v>
      </c>
      <c r="Q161" s="54">
        <f t="shared" si="30"/>
        <v>34</v>
      </c>
      <c r="S161" s="52">
        <v>0.65</v>
      </c>
    </row>
    <row r="162" spans="1:19" s="30" customFormat="1" ht="13" x14ac:dyDescent="0.2">
      <c r="A162" s="41"/>
      <c r="B162" s="41"/>
      <c r="C162" s="41"/>
      <c r="D162" s="41"/>
      <c r="E162" s="41"/>
      <c r="F162" s="41">
        <f t="shared" si="35"/>
        <v>72</v>
      </c>
      <c r="G162" s="49">
        <f t="shared" si="34"/>
        <v>138</v>
      </c>
      <c r="H162" s="50" t="s">
        <v>226</v>
      </c>
      <c r="I162" s="51">
        <v>57.23</v>
      </c>
      <c r="J162" s="51">
        <v>57.23</v>
      </c>
      <c r="K162" s="52">
        <v>0.60799999999999998</v>
      </c>
      <c r="L162" s="26"/>
      <c r="M162" s="27">
        <f t="shared" si="26"/>
        <v>0.60792953413668316</v>
      </c>
      <c r="N162" s="27">
        <f t="shared" si="27"/>
        <v>0.6079</v>
      </c>
      <c r="O162" s="28">
        <f t="shared" si="28"/>
        <v>0.60799999999999998</v>
      </c>
      <c r="P162" s="29">
        <f t="shared" si="29"/>
        <v>0.61</v>
      </c>
      <c r="Q162" s="54">
        <f t="shared" si="30"/>
        <v>17</v>
      </c>
      <c r="S162" s="52">
        <v>0.65</v>
      </c>
    </row>
    <row r="163" spans="1:19" s="30" customFormat="1" ht="13" x14ac:dyDescent="0.2">
      <c r="A163" s="41"/>
      <c r="B163" s="41"/>
      <c r="C163" s="41"/>
      <c r="D163" s="41"/>
      <c r="E163" s="41"/>
      <c r="F163" s="41"/>
      <c r="G163" s="42" t="s">
        <v>74</v>
      </c>
      <c r="H163" s="42" t="s">
        <v>227</v>
      </c>
      <c r="I163" s="56"/>
      <c r="J163" s="57"/>
      <c r="K163" s="45"/>
      <c r="L163" s="26"/>
      <c r="M163" s="27"/>
      <c r="N163" s="27"/>
      <c r="O163" s="28"/>
      <c r="P163" s="29"/>
      <c r="Q163" s="54">
        <f t="shared" si="30"/>
        <v>0</v>
      </c>
      <c r="S163" s="52">
        <v>0.60799999999999998</v>
      </c>
    </row>
    <row r="164" spans="1:19" s="30" customFormat="1" x14ac:dyDescent="0.2">
      <c r="A164" s="41"/>
      <c r="B164" s="41"/>
      <c r="C164" s="41"/>
      <c r="D164" s="41"/>
      <c r="E164" s="41"/>
      <c r="F164" s="41"/>
      <c r="G164" s="46"/>
      <c r="H164" s="46" t="s">
        <v>76</v>
      </c>
      <c r="I164" s="47" t="s">
        <v>77</v>
      </c>
      <c r="J164" s="47" t="s">
        <v>78</v>
      </c>
      <c r="K164" s="48" t="s">
        <v>79</v>
      </c>
      <c r="L164" s="26"/>
      <c r="M164" s="27"/>
      <c r="N164" s="27"/>
      <c r="O164" s="28"/>
      <c r="P164" s="29"/>
      <c r="Q164" s="54">
        <f t="shared" si="30"/>
        <v>0</v>
      </c>
      <c r="S164" s="45"/>
    </row>
    <row r="165" spans="1:19" s="30" customFormat="1" ht="13" x14ac:dyDescent="0.2">
      <c r="A165" s="41"/>
      <c r="B165" s="41"/>
      <c r="C165" s="41"/>
      <c r="D165" s="41"/>
      <c r="E165" s="41"/>
      <c r="F165" s="41">
        <f>+F162+1</f>
        <v>73</v>
      </c>
      <c r="G165" s="49">
        <f>+G162+1</f>
        <v>139</v>
      </c>
      <c r="H165" s="50" t="s">
        <v>228</v>
      </c>
      <c r="I165" s="51">
        <v>57.48</v>
      </c>
      <c r="J165" s="51">
        <v>57.48</v>
      </c>
      <c r="K165" s="52">
        <v>0.61099999999999999</v>
      </c>
      <c r="L165" s="26"/>
      <c r="M165" s="27">
        <f t="shared" si="26"/>
        <v>0.61058517599469764</v>
      </c>
      <c r="N165" s="27">
        <f t="shared" si="27"/>
        <v>0.61060000000000003</v>
      </c>
      <c r="O165" s="28">
        <f t="shared" si="28"/>
        <v>0.61099999999999999</v>
      </c>
      <c r="P165" s="29">
        <f t="shared" si="29"/>
        <v>0.61</v>
      </c>
      <c r="Q165" s="54">
        <f t="shared" si="30"/>
        <v>17</v>
      </c>
      <c r="S165" s="48"/>
    </row>
    <row r="166" spans="1:19" s="30" customFormat="1" ht="13" x14ac:dyDescent="0.2">
      <c r="A166" s="41"/>
      <c r="B166" s="41"/>
      <c r="C166" s="41"/>
      <c r="D166" s="41"/>
      <c r="E166" s="41"/>
      <c r="F166" s="41">
        <f>+F165+1</f>
        <v>74</v>
      </c>
      <c r="G166" s="49">
        <f t="shared" ref="G166:G172" si="36">+G165+1</f>
        <v>140</v>
      </c>
      <c r="H166" s="50" t="s">
        <v>229</v>
      </c>
      <c r="I166" s="51">
        <v>55.76</v>
      </c>
      <c r="J166" s="51">
        <v>55.76</v>
      </c>
      <c r="K166" s="52">
        <v>0.59199999999999997</v>
      </c>
      <c r="L166" s="26"/>
      <c r="M166" s="27">
        <f t="shared" si="26"/>
        <v>0.59231436001155779</v>
      </c>
      <c r="N166" s="27">
        <f t="shared" si="27"/>
        <v>0.59230000000000005</v>
      </c>
      <c r="O166" s="28">
        <f t="shared" si="28"/>
        <v>0.59199999999999997</v>
      </c>
      <c r="P166" s="29">
        <f t="shared" si="29"/>
        <v>0.59</v>
      </c>
      <c r="Q166" s="54">
        <f t="shared" si="30"/>
        <v>17</v>
      </c>
      <c r="S166" s="52">
        <v>0.61099999999999999</v>
      </c>
    </row>
    <row r="167" spans="1:19" s="30" customFormat="1" ht="13" x14ac:dyDescent="0.2">
      <c r="A167" s="41"/>
      <c r="B167" s="41"/>
      <c r="C167" s="41"/>
      <c r="D167" s="41"/>
      <c r="E167" s="41"/>
      <c r="F167" s="41">
        <f t="shared" ref="F167:F172" si="37">+F166+1</f>
        <v>75</v>
      </c>
      <c r="G167" s="49">
        <f t="shared" si="36"/>
        <v>141</v>
      </c>
      <c r="H167" s="50" t="s">
        <v>230</v>
      </c>
      <c r="I167" s="51">
        <v>55.55</v>
      </c>
      <c r="J167" s="51">
        <v>55.55</v>
      </c>
      <c r="K167" s="52">
        <v>0.59</v>
      </c>
      <c r="L167" s="26"/>
      <c r="M167" s="27">
        <f t="shared" si="26"/>
        <v>0.59008362085082566</v>
      </c>
      <c r="N167" s="27">
        <f t="shared" si="27"/>
        <v>0.59009999999999996</v>
      </c>
      <c r="O167" s="28">
        <f t="shared" si="28"/>
        <v>0.59</v>
      </c>
      <c r="P167" s="29">
        <f t="shared" si="29"/>
        <v>0.59</v>
      </c>
      <c r="Q167" s="54">
        <f t="shared" si="30"/>
        <v>18</v>
      </c>
      <c r="S167" s="52">
        <v>0.59199999999999997</v>
      </c>
    </row>
    <row r="168" spans="1:19" s="30" customFormat="1" ht="13" x14ac:dyDescent="0.2">
      <c r="A168" s="41"/>
      <c r="B168" s="41"/>
      <c r="C168" s="41"/>
      <c r="D168" s="41"/>
      <c r="E168" s="41"/>
      <c r="F168" s="41">
        <f t="shared" si="37"/>
        <v>76</v>
      </c>
      <c r="G168" s="49">
        <f t="shared" si="36"/>
        <v>142</v>
      </c>
      <c r="H168" s="50" t="s">
        <v>231</v>
      </c>
      <c r="I168" s="51">
        <v>62.32</v>
      </c>
      <c r="J168" s="51">
        <v>62.32</v>
      </c>
      <c r="K168" s="52">
        <v>0.66200000000000003</v>
      </c>
      <c r="L168" s="26"/>
      <c r="M168" s="27">
        <f t="shared" si="26"/>
        <v>0.66199840236585872</v>
      </c>
      <c r="N168" s="27">
        <f t="shared" si="27"/>
        <v>0.66200000000000003</v>
      </c>
      <c r="O168" s="28">
        <f t="shared" si="28"/>
        <v>0.66200000000000003</v>
      </c>
      <c r="P168" s="29">
        <f t="shared" si="29"/>
        <v>0.66</v>
      </c>
      <c r="Q168" s="54">
        <f t="shared" si="30"/>
        <v>17</v>
      </c>
      <c r="S168" s="52">
        <v>0.59</v>
      </c>
    </row>
    <row r="169" spans="1:19" s="30" customFormat="1" ht="13" x14ac:dyDescent="0.2">
      <c r="A169" s="41"/>
      <c r="B169" s="41"/>
      <c r="C169" s="41"/>
      <c r="D169" s="41"/>
      <c r="E169" s="41"/>
      <c r="F169" s="41">
        <f t="shared" si="37"/>
        <v>77</v>
      </c>
      <c r="G169" s="49">
        <f t="shared" si="36"/>
        <v>143</v>
      </c>
      <c r="H169" s="50" t="s">
        <v>232</v>
      </c>
      <c r="I169" s="51">
        <v>60.95</v>
      </c>
      <c r="J169" s="51">
        <v>60.95</v>
      </c>
      <c r="K169" s="52">
        <v>0.64700000000000002</v>
      </c>
      <c r="L169" s="26"/>
      <c r="M169" s="27">
        <f t="shared" si="26"/>
        <v>0.64744548498393917</v>
      </c>
      <c r="N169" s="27">
        <f t="shared" si="27"/>
        <v>0.64739999999999998</v>
      </c>
      <c r="O169" s="28">
        <f t="shared" si="28"/>
        <v>0.64700000000000002</v>
      </c>
      <c r="P169" s="29">
        <f t="shared" si="29"/>
        <v>0.65</v>
      </c>
      <c r="Q169" s="54">
        <f t="shared" si="30"/>
        <v>17</v>
      </c>
      <c r="S169" s="52">
        <v>0.66200000000000003</v>
      </c>
    </row>
    <row r="170" spans="1:19" s="30" customFormat="1" ht="13" x14ac:dyDescent="0.2">
      <c r="A170" s="41"/>
      <c r="B170" s="41"/>
      <c r="C170" s="41"/>
      <c r="D170" s="41"/>
      <c r="E170" s="41"/>
      <c r="F170" s="41">
        <f t="shared" si="37"/>
        <v>78</v>
      </c>
      <c r="G170" s="49">
        <f t="shared" si="36"/>
        <v>144</v>
      </c>
      <c r="H170" s="50" t="s">
        <v>233</v>
      </c>
      <c r="I170" s="51">
        <v>61.16</v>
      </c>
      <c r="J170" s="51">
        <v>61.16</v>
      </c>
      <c r="K170" s="52">
        <v>0.65</v>
      </c>
      <c r="L170" s="26"/>
      <c r="M170" s="27">
        <f t="shared" si="26"/>
        <v>0.64967622414467141</v>
      </c>
      <c r="N170" s="27">
        <f t="shared" si="27"/>
        <v>0.64970000000000006</v>
      </c>
      <c r="O170" s="28">
        <f t="shared" si="28"/>
        <v>0.65</v>
      </c>
      <c r="P170" s="29">
        <f t="shared" si="29"/>
        <v>0.65</v>
      </c>
      <c r="Q170" s="54">
        <f t="shared" si="30"/>
        <v>34</v>
      </c>
      <c r="S170" s="52">
        <v>0.64700000000000002</v>
      </c>
    </row>
    <row r="171" spans="1:19" s="30" customFormat="1" ht="13" x14ac:dyDescent="0.2">
      <c r="A171" s="41"/>
      <c r="B171" s="41"/>
      <c r="C171" s="41"/>
      <c r="D171" s="41"/>
      <c r="E171" s="41"/>
      <c r="F171" s="41">
        <f t="shared" si="37"/>
        <v>79</v>
      </c>
      <c r="G171" s="49">
        <f t="shared" si="36"/>
        <v>145</v>
      </c>
      <c r="H171" s="50" t="s">
        <v>234</v>
      </c>
      <c r="I171" s="51">
        <v>61.18</v>
      </c>
      <c r="J171" s="51">
        <v>61.18</v>
      </c>
      <c r="K171" s="52">
        <v>0.65</v>
      </c>
      <c r="L171" s="26"/>
      <c r="M171" s="27">
        <f t="shared" si="26"/>
        <v>0.64988867549331253</v>
      </c>
      <c r="N171" s="27">
        <f t="shared" si="27"/>
        <v>0.64990000000000003</v>
      </c>
      <c r="O171" s="28">
        <f t="shared" si="28"/>
        <v>0.65</v>
      </c>
      <c r="P171" s="29">
        <f t="shared" si="29"/>
        <v>0.65</v>
      </c>
      <c r="Q171" s="54">
        <f t="shared" si="30"/>
        <v>34</v>
      </c>
      <c r="S171" s="52">
        <v>0.65</v>
      </c>
    </row>
    <row r="172" spans="1:19" s="30" customFormat="1" ht="13" x14ac:dyDescent="0.2">
      <c r="A172" s="41"/>
      <c r="B172" s="41"/>
      <c r="C172" s="41"/>
      <c r="D172" s="41"/>
      <c r="E172" s="41"/>
      <c r="F172" s="41">
        <f t="shared" si="37"/>
        <v>80</v>
      </c>
      <c r="G172" s="49">
        <f t="shared" si="36"/>
        <v>146</v>
      </c>
      <c r="H172" s="50" t="s">
        <v>235</v>
      </c>
      <c r="I172" s="51">
        <v>57.23</v>
      </c>
      <c r="J172" s="51">
        <v>57.23</v>
      </c>
      <c r="K172" s="52">
        <v>0.60799999999999998</v>
      </c>
      <c r="L172" s="26"/>
      <c r="M172" s="27">
        <f t="shared" si="26"/>
        <v>0.60792953413668316</v>
      </c>
      <c r="N172" s="27">
        <f t="shared" si="27"/>
        <v>0.6079</v>
      </c>
      <c r="O172" s="28">
        <f t="shared" si="28"/>
        <v>0.60799999999999998</v>
      </c>
      <c r="P172" s="29">
        <f t="shared" si="29"/>
        <v>0.61</v>
      </c>
      <c r="Q172" s="54">
        <f t="shared" si="30"/>
        <v>17</v>
      </c>
      <c r="S172" s="52">
        <v>0.65</v>
      </c>
    </row>
    <row r="173" spans="1:19" s="30" customFormat="1" ht="13" x14ac:dyDescent="0.2">
      <c r="A173" s="41"/>
      <c r="B173" s="41"/>
      <c r="C173" s="41"/>
      <c r="D173" s="41"/>
      <c r="E173" s="41"/>
      <c r="F173" s="41"/>
      <c r="G173" s="42" t="s">
        <v>74</v>
      </c>
      <c r="H173" s="42" t="s">
        <v>236</v>
      </c>
      <c r="I173" s="56"/>
      <c r="J173" s="57"/>
      <c r="K173" s="45"/>
      <c r="L173" s="26"/>
      <c r="M173" s="27"/>
      <c r="N173" s="27"/>
      <c r="O173" s="28"/>
      <c r="P173" s="29"/>
      <c r="Q173" s="54">
        <f t="shared" si="30"/>
        <v>0</v>
      </c>
      <c r="S173" s="52">
        <v>0.60799999999999998</v>
      </c>
    </row>
    <row r="174" spans="1:19" s="30" customFormat="1" x14ac:dyDescent="0.2">
      <c r="A174" s="41"/>
      <c r="B174" s="41"/>
      <c r="C174" s="41"/>
      <c r="D174" s="41"/>
      <c r="E174" s="41"/>
      <c r="F174" s="41"/>
      <c r="G174" s="46"/>
      <c r="H174" s="46" t="s">
        <v>76</v>
      </c>
      <c r="I174" s="47" t="s">
        <v>77</v>
      </c>
      <c r="J174" s="47" t="s">
        <v>78</v>
      </c>
      <c r="K174" s="48" t="s">
        <v>79</v>
      </c>
      <c r="L174" s="26"/>
      <c r="M174" s="27"/>
      <c r="N174" s="27"/>
      <c r="O174" s="28"/>
      <c r="P174" s="29"/>
      <c r="Q174" s="54">
        <f t="shared" si="30"/>
        <v>0</v>
      </c>
      <c r="S174" s="45"/>
    </row>
    <row r="175" spans="1:19" s="30" customFormat="1" ht="13" x14ac:dyDescent="0.2">
      <c r="A175" s="41"/>
      <c r="B175" s="41"/>
      <c r="C175" s="41"/>
      <c r="D175" s="41"/>
      <c r="E175" s="41"/>
      <c r="F175" s="41">
        <f>+F172+1</f>
        <v>81</v>
      </c>
      <c r="G175" s="49">
        <f>+G172+1</f>
        <v>147</v>
      </c>
      <c r="H175" s="50" t="s">
        <v>237</v>
      </c>
      <c r="I175" s="51">
        <v>57.48</v>
      </c>
      <c r="J175" s="51">
        <v>57.48</v>
      </c>
      <c r="K175" s="52">
        <v>0.61099999999999999</v>
      </c>
      <c r="L175" s="26"/>
      <c r="M175" s="27">
        <f t="shared" si="26"/>
        <v>0.61058517599469764</v>
      </c>
      <c r="N175" s="27">
        <f t="shared" si="27"/>
        <v>0.61060000000000003</v>
      </c>
      <c r="O175" s="28">
        <f t="shared" si="28"/>
        <v>0.61099999999999999</v>
      </c>
      <c r="P175" s="29">
        <f t="shared" si="29"/>
        <v>0.61</v>
      </c>
      <c r="Q175" s="54">
        <f t="shared" si="30"/>
        <v>17</v>
      </c>
      <c r="S175" s="48"/>
    </row>
    <row r="176" spans="1:19" s="30" customFormat="1" ht="13" x14ac:dyDescent="0.2">
      <c r="A176" s="41"/>
      <c r="B176" s="41"/>
      <c r="C176" s="41"/>
      <c r="D176" s="41"/>
      <c r="E176" s="41"/>
      <c r="F176" s="41">
        <f>+F175+1</f>
        <v>82</v>
      </c>
      <c r="G176" s="49">
        <f t="shared" ref="G176:G182" si="38">+G175+1</f>
        <v>148</v>
      </c>
      <c r="H176" s="50" t="s">
        <v>238</v>
      </c>
      <c r="I176" s="51">
        <v>55.76</v>
      </c>
      <c r="J176" s="51">
        <v>55.76</v>
      </c>
      <c r="K176" s="52">
        <v>0.59199999999999997</v>
      </c>
      <c r="L176" s="26"/>
      <c r="M176" s="27">
        <f t="shared" si="26"/>
        <v>0.59231436001155779</v>
      </c>
      <c r="N176" s="27">
        <f t="shared" si="27"/>
        <v>0.59230000000000005</v>
      </c>
      <c r="O176" s="28">
        <f t="shared" si="28"/>
        <v>0.59199999999999997</v>
      </c>
      <c r="P176" s="29">
        <f t="shared" si="29"/>
        <v>0.59</v>
      </c>
      <c r="Q176" s="54">
        <f t="shared" si="30"/>
        <v>17</v>
      </c>
      <c r="S176" s="52">
        <v>0.61099999999999999</v>
      </c>
    </row>
    <row r="177" spans="1:19" s="30" customFormat="1" ht="13" x14ac:dyDescent="0.2">
      <c r="A177" s="41"/>
      <c r="B177" s="41"/>
      <c r="C177" s="41"/>
      <c r="D177" s="41"/>
      <c r="E177" s="41"/>
      <c r="F177" s="41">
        <f t="shared" ref="F177:F182" si="39">+F176+1</f>
        <v>83</v>
      </c>
      <c r="G177" s="49">
        <f t="shared" si="38"/>
        <v>149</v>
      </c>
      <c r="H177" s="50" t="s">
        <v>239</v>
      </c>
      <c r="I177" s="51">
        <v>55.55</v>
      </c>
      <c r="J177" s="51">
        <v>55.55</v>
      </c>
      <c r="K177" s="52">
        <v>0.59</v>
      </c>
      <c r="L177" s="26"/>
      <c r="M177" s="27">
        <f t="shared" si="26"/>
        <v>0.59008362085082566</v>
      </c>
      <c r="N177" s="27">
        <f t="shared" si="27"/>
        <v>0.59009999999999996</v>
      </c>
      <c r="O177" s="28">
        <f t="shared" si="28"/>
        <v>0.59</v>
      </c>
      <c r="P177" s="29">
        <f t="shared" si="29"/>
        <v>0.59</v>
      </c>
      <c r="Q177" s="54">
        <f t="shared" si="30"/>
        <v>18</v>
      </c>
      <c r="S177" s="52">
        <v>0.59199999999999997</v>
      </c>
    </row>
    <row r="178" spans="1:19" s="30" customFormat="1" ht="13" x14ac:dyDescent="0.2">
      <c r="A178" s="41"/>
      <c r="B178" s="41"/>
      <c r="C178" s="41"/>
      <c r="D178" s="41"/>
      <c r="E178" s="41"/>
      <c r="F178" s="41">
        <f t="shared" si="39"/>
        <v>84</v>
      </c>
      <c r="G178" s="49">
        <f t="shared" si="38"/>
        <v>150</v>
      </c>
      <c r="H178" s="50" t="s">
        <v>240</v>
      </c>
      <c r="I178" s="51">
        <v>62.32</v>
      </c>
      <c r="J178" s="51">
        <v>62.32</v>
      </c>
      <c r="K178" s="52">
        <v>0.66200000000000003</v>
      </c>
      <c r="L178" s="26"/>
      <c r="M178" s="27">
        <f t="shared" si="26"/>
        <v>0.66199840236585872</v>
      </c>
      <c r="N178" s="27">
        <f t="shared" si="27"/>
        <v>0.66200000000000003</v>
      </c>
      <c r="O178" s="28">
        <f t="shared" si="28"/>
        <v>0.66200000000000003</v>
      </c>
      <c r="P178" s="29">
        <f t="shared" si="29"/>
        <v>0.66</v>
      </c>
      <c r="Q178" s="54">
        <f t="shared" si="30"/>
        <v>17</v>
      </c>
      <c r="S178" s="52">
        <v>0.59</v>
      </c>
    </row>
    <row r="179" spans="1:19" s="30" customFormat="1" ht="13" x14ac:dyDescent="0.2">
      <c r="A179" s="41"/>
      <c r="B179" s="41"/>
      <c r="C179" s="41"/>
      <c r="D179" s="41"/>
      <c r="E179" s="41"/>
      <c r="F179" s="41">
        <f t="shared" si="39"/>
        <v>85</v>
      </c>
      <c r="G179" s="49">
        <f t="shared" si="38"/>
        <v>151</v>
      </c>
      <c r="H179" s="50" t="s">
        <v>241</v>
      </c>
      <c r="I179" s="51">
        <v>60.95</v>
      </c>
      <c r="J179" s="51">
        <v>60.95</v>
      </c>
      <c r="K179" s="52">
        <v>0.64700000000000002</v>
      </c>
      <c r="L179" s="26"/>
      <c r="M179" s="27">
        <f t="shared" si="26"/>
        <v>0.64744548498393917</v>
      </c>
      <c r="N179" s="27">
        <f t="shared" si="27"/>
        <v>0.64739999999999998</v>
      </c>
      <c r="O179" s="28">
        <f t="shared" si="28"/>
        <v>0.64700000000000002</v>
      </c>
      <c r="P179" s="29">
        <f t="shared" si="29"/>
        <v>0.65</v>
      </c>
      <c r="Q179" s="54">
        <f t="shared" si="30"/>
        <v>17</v>
      </c>
      <c r="S179" s="52">
        <v>0.66200000000000003</v>
      </c>
    </row>
    <row r="180" spans="1:19" s="30" customFormat="1" ht="13" x14ac:dyDescent="0.2">
      <c r="A180" s="41"/>
      <c r="B180" s="41"/>
      <c r="C180" s="41"/>
      <c r="D180" s="41"/>
      <c r="E180" s="41"/>
      <c r="F180" s="41">
        <f t="shared" si="39"/>
        <v>86</v>
      </c>
      <c r="G180" s="49">
        <f t="shared" si="38"/>
        <v>152</v>
      </c>
      <c r="H180" s="50" t="s">
        <v>242</v>
      </c>
      <c r="I180" s="51">
        <v>61.16</v>
      </c>
      <c r="J180" s="51">
        <v>61.16</v>
      </c>
      <c r="K180" s="52">
        <v>0.65</v>
      </c>
      <c r="L180" s="26"/>
      <c r="M180" s="27">
        <f t="shared" si="26"/>
        <v>0.64967622414467141</v>
      </c>
      <c r="N180" s="27">
        <f t="shared" si="27"/>
        <v>0.64970000000000006</v>
      </c>
      <c r="O180" s="28">
        <f t="shared" si="28"/>
        <v>0.65</v>
      </c>
      <c r="P180" s="29">
        <f t="shared" si="29"/>
        <v>0.65</v>
      </c>
      <c r="Q180" s="54">
        <f t="shared" si="30"/>
        <v>34</v>
      </c>
      <c r="S180" s="52">
        <v>0.64700000000000002</v>
      </c>
    </row>
    <row r="181" spans="1:19" s="30" customFormat="1" ht="13" x14ac:dyDescent="0.2">
      <c r="A181" s="41"/>
      <c r="B181" s="41"/>
      <c r="C181" s="41"/>
      <c r="D181" s="41"/>
      <c r="E181" s="41"/>
      <c r="F181" s="41">
        <f t="shared" si="39"/>
        <v>87</v>
      </c>
      <c r="G181" s="49">
        <f t="shared" si="38"/>
        <v>153</v>
      </c>
      <c r="H181" s="50" t="s">
        <v>243</v>
      </c>
      <c r="I181" s="51">
        <v>61.18</v>
      </c>
      <c r="J181" s="51">
        <v>61.18</v>
      </c>
      <c r="K181" s="52">
        <v>0.65</v>
      </c>
      <c r="L181" s="26"/>
      <c r="M181" s="27">
        <f t="shared" si="26"/>
        <v>0.64988867549331253</v>
      </c>
      <c r="N181" s="27">
        <f t="shared" si="27"/>
        <v>0.64990000000000003</v>
      </c>
      <c r="O181" s="28">
        <f t="shared" si="28"/>
        <v>0.65</v>
      </c>
      <c r="P181" s="29">
        <f t="shared" si="29"/>
        <v>0.65</v>
      </c>
      <c r="Q181" s="54">
        <f t="shared" si="30"/>
        <v>34</v>
      </c>
      <c r="S181" s="52">
        <v>0.65</v>
      </c>
    </row>
    <row r="182" spans="1:19" s="30" customFormat="1" ht="13" x14ac:dyDescent="0.2">
      <c r="A182" s="41"/>
      <c r="B182" s="41"/>
      <c r="C182" s="41"/>
      <c r="D182" s="41"/>
      <c r="E182" s="41"/>
      <c r="F182" s="41">
        <f t="shared" si="39"/>
        <v>88</v>
      </c>
      <c r="G182" s="49">
        <f t="shared" si="38"/>
        <v>154</v>
      </c>
      <c r="H182" s="50" t="s">
        <v>244</v>
      </c>
      <c r="I182" s="51">
        <v>57.23</v>
      </c>
      <c r="J182" s="51">
        <v>57.23</v>
      </c>
      <c r="K182" s="52">
        <v>0.60799999999999998</v>
      </c>
      <c r="L182" s="26"/>
      <c r="M182" s="27">
        <f t="shared" si="26"/>
        <v>0.60792953413668316</v>
      </c>
      <c r="N182" s="27">
        <f t="shared" si="27"/>
        <v>0.6079</v>
      </c>
      <c r="O182" s="28">
        <f t="shared" si="28"/>
        <v>0.60799999999999998</v>
      </c>
      <c r="P182" s="29">
        <f t="shared" si="29"/>
        <v>0.61</v>
      </c>
      <c r="Q182" s="54">
        <f t="shared" si="30"/>
        <v>17</v>
      </c>
      <c r="S182" s="52">
        <v>0.65</v>
      </c>
    </row>
    <row r="183" spans="1:19" s="30" customFormat="1" ht="13" x14ac:dyDescent="0.2">
      <c r="A183" s="41"/>
      <c r="B183" s="41"/>
      <c r="C183" s="41"/>
      <c r="D183" s="41"/>
      <c r="E183" s="41"/>
      <c r="F183" s="41"/>
      <c r="G183" s="42" t="s">
        <v>74</v>
      </c>
      <c r="H183" s="42" t="s">
        <v>245</v>
      </c>
      <c r="I183" s="56"/>
      <c r="J183" s="57"/>
      <c r="K183" s="45"/>
      <c r="L183" s="26"/>
      <c r="M183" s="27"/>
      <c r="N183" s="27"/>
      <c r="O183" s="28"/>
      <c r="P183" s="29"/>
      <c r="Q183" s="54">
        <f t="shared" si="30"/>
        <v>0</v>
      </c>
      <c r="S183" s="52">
        <v>0.60799999999999998</v>
      </c>
    </row>
    <row r="184" spans="1:19" s="30" customFormat="1" x14ac:dyDescent="0.2">
      <c r="A184" s="41"/>
      <c r="B184" s="41"/>
      <c r="C184" s="41"/>
      <c r="D184" s="41"/>
      <c r="E184" s="41"/>
      <c r="F184" s="41"/>
      <c r="G184" s="46"/>
      <c r="H184" s="46" t="s">
        <v>76</v>
      </c>
      <c r="I184" s="47" t="s">
        <v>77</v>
      </c>
      <c r="J184" s="47" t="s">
        <v>78</v>
      </c>
      <c r="K184" s="48" t="s">
        <v>79</v>
      </c>
      <c r="L184" s="26"/>
      <c r="M184" s="27"/>
      <c r="N184" s="27"/>
      <c r="O184" s="28"/>
      <c r="P184" s="29"/>
      <c r="Q184" s="54">
        <f t="shared" si="30"/>
        <v>0</v>
      </c>
      <c r="S184" s="45"/>
    </row>
    <row r="185" spans="1:19" s="30" customFormat="1" ht="13" x14ac:dyDescent="0.2">
      <c r="A185" s="41"/>
      <c r="B185" s="41"/>
      <c r="C185" s="41"/>
      <c r="D185" s="41"/>
      <c r="E185" s="41"/>
      <c r="F185" s="41">
        <f>+F182+1</f>
        <v>89</v>
      </c>
      <c r="G185" s="49">
        <f>+G182+1</f>
        <v>155</v>
      </c>
      <c r="H185" s="50" t="s">
        <v>246</v>
      </c>
      <c r="I185" s="51">
        <v>57.48</v>
      </c>
      <c r="J185" s="51">
        <v>57.48</v>
      </c>
      <c r="K185" s="52">
        <v>0.61099999999999999</v>
      </c>
      <c r="L185" s="26"/>
      <c r="M185" s="27">
        <f t="shared" si="26"/>
        <v>0.61058517599469764</v>
      </c>
      <c r="N185" s="27">
        <f t="shared" si="27"/>
        <v>0.61060000000000003</v>
      </c>
      <c r="O185" s="28">
        <f t="shared" si="28"/>
        <v>0.61099999999999999</v>
      </c>
      <c r="P185" s="29">
        <f t="shared" si="29"/>
        <v>0.61</v>
      </c>
      <c r="Q185" s="54">
        <f t="shared" si="30"/>
        <v>17</v>
      </c>
      <c r="S185" s="48"/>
    </row>
    <row r="186" spans="1:19" s="30" customFormat="1" ht="13" x14ac:dyDescent="0.2">
      <c r="A186" s="41"/>
      <c r="B186" s="41"/>
      <c r="C186" s="41"/>
      <c r="D186" s="41"/>
      <c r="E186" s="41"/>
      <c r="F186" s="41">
        <f>+F185+1</f>
        <v>90</v>
      </c>
      <c r="G186" s="49">
        <f t="shared" ref="G186:G192" si="40">+G185+1</f>
        <v>156</v>
      </c>
      <c r="H186" s="50" t="s">
        <v>247</v>
      </c>
      <c r="I186" s="51">
        <v>55.76</v>
      </c>
      <c r="J186" s="51">
        <v>55.76</v>
      </c>
      <c r="K186" s="52">
        <v>0.59199999999999997</v>
      </c>
      <c r="L186" s="26"/>
      <c r="M186" s="27">
        <f t="shared" si="26"/>
        <v>0.59231436001155779</v>
      </c>
      <c r="N186" s="27">
        <f t="shared" si="27"/>
        <v>0.59230000000000005</v>
      </c>
      <c r="O186" s="28">
        <f t="shared" si="28"/>
        <v>0.59199999999999997</v>
      </c>
      <c r="P186" s="29">
        <f t="shared" si="29"/>
        <v>0.59</v>
      </c>
      <c r="Q186" s="54">
        <f t="shared" si="30"/>
        <v>17</v>
      </c>
      <c r="S186" s="52">
        <v>0.61099999999999999</v>
      </c>
    </row>
    <row r="187" spans="1:19" s="30" customFormat="1" ht="13" x14ac:dyDescent="0.2">
      <c r="A187" s="41"/>
      <c r="B187" s="41"/>
      <c r="C187" s="41"/>
      <c r="D187" s="41"/>
      <c r="E187" s="41"/>
      <c r="F187" s="41">
        <f t="shared" ref="F187:F192" si="41">+F186+1</f>
        <v>91</v>
      </c>
      <c r="G187" s="49">
        <f t="shared" si="40"/>
        <v>157</v>
      </c>
      <c r="H187" s="50" t="s">
        <v>248</v>
      </c>
      <c r="I187" s="51">
        <v>55.55</v>
      </c>
      <c r="J187" s="51">
        <v>55.55</v>
      </c>
      <c r="K187" s="52">
        <v>0.59</v>
      </c>
      <c r="L187" s="26"/>
      <c r="M187" s="27">
        <f t="shared" si="26"/>
        <v>0.59008362085082566</v>
      </c>
      <c r="N187" s="27">
        <f t="shared" si="27"/>
        <v>0.59009999999999996</v>
      </c>
      <c r="O187" s="28">
        <f t="shared" si="28"/>
        <v>0.59</v>
      </c>
      <c r="P187" s="29">
        <f t="shared" si="29"/>
        <v>0.59</v>
      </c>
      <c r="Q187" s="54">
        <f t="shared" si="30"/>
        <v>18</v>
      </c>
      <c r="S187" s="52">
        <v>0.59199999999999997</v>
      </c>
    </row>
    <row r="188" spans="1:19" s="30" customFormat="1" ht="13" x14ac:dyDescent="0.2">
      <c r="A188" s="41"/>
      <c r="B188" s="41"/>
      <c r="C188" s="41"/>
      <c r="D188" s="41"/>
      <c r="E188" s="41"/>
      <c r="F188" s="41">
        <f t="shared" si="41"/>
        <v>92</v>
      </c>
      <c r="G188" s="49">
        <f t="shared" si="40"/>
        <v>158</v>
      </c>
      <c r="H188" s="50" t="s">
        <v>249</v>
      </c>
      <c r="I188" s="51">
        <v>62.32</v>
      </c>
      <c r="J188" s="51">
        <v>62.32</v>
      </c>
      <c r="K188" s="52">
        <v>0.66200000000000003</v>
      </c>
      <c r="L188" s="26"/>
      <c r="M188" s="27">
        <f t="shared" si="26"/>
        <v>0.66199840236585872</v>
      </c>
      <c r="N188" s="27">
        <f t="shared" si="27"/>
        <v>0.66200000000000003</v>
      </c>
      <c r="O188" s="28">
        <f t="shared" si="28"/>
        <v>0.66200000000000003</v>
      </c>
      <c r="P188" s="29">
        <f t="shared" si="29"/>
        <v>0.66</v>
      </c>
      <c r="Q188" s="54">
        <f t="shared" si="30"/>
        <v>17</v>
      </c>
      <c r="S188" s="52">
        <v>0.59</v>
      </c>
    </row>
    <row r="189" spans="1:19" s="30" customFormat="1" ht="13" x14ac:dyDescent="0.2">
      <c r="A189" s="41"/>
      <c r="B189" s="41"/>
      <c r="C189" s="41"/>
      <c r="D189" s="41"/>
      <c r="E189" s="41"/>
      <c r="F189" s="41">
        <f t="shared" si="41"/>
        <v>93</v>
      </c>
      <c r="G189" s="49">
        <f t="shared" si="40"/>
        <v>159</v>
      </c>
      <c r="H189" s="50" t="s">
        <v>250</v>
      </c>
      <c r="I189" s="51">
        <v>60.95</v>
      </c>
      <c r="J189" s="51">
        <v>60.95</v>
      </c>
      <c r="K189" s="52">
        <v>0.64700000000000002</v>
      </c>
      <c r="L189" s="26"/>
      <c r="M189" s="27">
        <f t="shared" si="26"/>
        <v>0.64744548498393917</v>
      </c>
      <c r="N189" s="27">
        <f t="shared" si="27"/>
        <v>0.64739999999999998</v>
      </c>
      <c r="O189" s="28">
        <f t="shared" si="28"/>
        <v>0.64700000000000002</v>
      </c>
      <c r="P189" s="29">
        <f t="shared" si="29"/>
        <v>0.65</v>
      </c>
      <c r="Q189" s="54">
        <f t="shared" si="30"/>
        <v>17</v>
      </c>
      <c r="S189" s="52">
        <v>0.66200000000000003</v>
      </c>
    </row>
    <row r="190" spans="1:19" s="30" customFormat="1" ht="13" x14ac:dyDescent="0.2">
      <c r="A190" s="41"/>
      <c r="B190" s="41"/>
      <c r="C190" s="41"/>
      <c r="D190" s="41"/>
      <c r="E190" s="41"/>
      <c r="F190" s="41">
        <f t="shared" si="41"/>
        <v>94</v>
      </c>
      <c r="G190" s="49">
        <f t="shared" si="40"/>
        <v>160</v>
      </c>
      <c r="H190" s="50" t="s">
        <v>251</v>
      </c>
      <c r="I190" s="51">
        <v>61.16</v>
      </c>
      <c r="J190" s="51">
        <v>61.16</v>
      </c>
      <c r="K190" s="52">
        <v>0.65</v>
      </c>
      <c r="L190" s="26"/>
      <c r="M190" s="27">
        <f t="shared" si="26"/>
        <v>0.64967622414467141</v>
      </c>
      <c r="N190" s="27">
        <f t="shared" si="27"/>
        <v>0.64970000000000006</v>
      </c>
      <c r="O190" s="28">
        <f t="shared" si="28"/>
        <v>0.65</v>
      </c>
      <c r="P190" s="29">
        <f t="shared" si="29"/>
        <v>0.65</v>
      </c>
      <c r="Q190" s="54">
        <f t="shared" si="30"/>
        <v>34</v>
      </c>
      <c r="S190" s="52">
        <v>0.64700000000000002</v>
      </c>
    </row>
    <row r="191" spans="1:19" s="30" customFormat="1" ht="13" x14ac:dyDescent="0.2">
      <c r="A191" s="41"/>
      <c r="B191" s="41"/>
      <c r="C191" s="41"/>
      <c r="D191" s="41"/>
      <c r="E191" s="41"/>
      <c r="F191" s="41">
        <f t="shared" si="41"/>
        <v>95</v>
      </c>
      <c r="G191" s="49">
        <f t="shared" si="40"/>
        <v>161</v>
      </c>
      <c r="H191" s="50" t="s">
        <v>252</v>
      </c>
      <c r="I191" s="51">
        <v>61.18</v>
      </c>
      <c r="J191" s="51">
        <v>61.18</v>
      </c>
      <c r="K191" s="52">
        <v>0.65</v>
      </c>
      <c r="L191" s="26"/>
      <c r="M191" s="27">
        <f t="shared" si="26"/>
        <v>0.64988867549331253</v>
      </c>
      <c r="N191" s="27">
        <f t="shared" si="27"/>
        <v>0.64990000000000003</v>
      </c>
      <c r="O191" s="28">
        <f t="shared" si="28"/>
        <v>0.65</v>
      </c>
      <c r="P191" s="29">
        <f t="shared" si="29"/>
        <v>0.65</v>
      </c>
      <c r="Q191" s="54">
        <f t="shared" si="30"/>
        <v>34</v>
      </c>
      <c r="S191" s="52">
        <v>0.65</v>
      </c>
    </row>
    <row r="192" spans="1:19" s="30" customFormat="1" ht="13" x14ac:dyDescent="0.2">
      <c r="A192" s="41"/>
      <c r="B192" s="41"/>
      <c r="C192" s="41"/>
      <c r="D192" s="41"/>
      <c r="E192" s="41"/>
      <c r="F192" s="41">
        <f t="shared" si="41"/>
        <v>96</v>
      </c>
      <c r="G192" s="49">
        <f t="shared" si="40"/>
        <v>162</v>
      </c>
      <c r="H192" s="50" t="s">
        <v>253</v>
      </c>
      <c r="I192" s="51">
        <v>57.23</v>
      </c>
      <c r="J192" s="51">
        <v>57.23</v>
      </c>
      <c r="K192" s="52">
        <v>0.60799999999999998</v>
      </c>
      <c r="L192" s="26"/>
      <c r="M192" s="27">
        <f t="shared" si="26"/>
        <v>0.60792953413668316</v>
      </c>
      <c r="N192" s="27">
        <f t="shared" si="27"/>
        <v>0.6079</v>
      </c>
      <c r="O192" s="28">
        <f t="shared" si="28"/>
        <v>0.60799999999999998</v>
      </c>
      <c r="P192" s="29">
        <f t="shared" si="29"/>
        <v>0.61</v>
      </c>
      <c r="Q192" s="54">
        <f t="shared" si="30"/>
        <v>17</v>
      </c>
      <c r="S192" s="52">
        <v>0.65</v>
      </c>
    </row>
    <row r="193" spans="1:19" s="30" customFormat="1" ht="13" x14ac:dyDescent="0.2">
      <c r="A193" s="41"/>
      <c r="B193" s="41"/>
      <c r="C193" s="41"/>
      <c r="D193" s="41"/>
      <c r="E193" s="41"/>
      <c r="F193" s="41"/>
      <c r="G193" s="42" t="s">
        <v>74</v>
      </c>
      <c r="H193" s="42" t="s">
        <v>254</v>
      </c>
      <c r="I193" s="56"/>
      <c r="J193" s="57"/>
      <c r="K193" s="45"/>
      <c r="L193" s="26"/>
      <c r="M193" s="27"/>
      <c r="N193" s="27"/>
      <c r="O193" s="28"/>
      <c r="P193" s="29"/>
      <c r="Q193" s="54">
        <f t="shared" si="30"/>
        <v>0</v>
      </c>
      <c r="S193" s="52">
        <v>0.60799999999999998</v>
      </c>
    </row>
    <row r="194" spans="1:19" s="30" customFormat="1" x14ac:dyDescent="0.2">
      <c r="A194" s="41"/>
      <c r="B194" s="41"/>
      <c r="C194" s="41"/>
      <c r="D194" s="41"/>
      <c r="E194" s="41"/>
      <c r="F194" s="41"/>
      <c r="G194" s="46"/>
      <c r="H194" s="46" t="s">
        <v>76</v>
      </c>
      <c r="I194" s="47" t="s">
        <v>77</v>
      </c>
      <c r="J194" s="47" t="s">
        <v>78</v>
      </c>
      <c r="K194" s="48" t="s">
        <v>79</v>
      </c>
      <c r="L194" s="26"/>
      <c r="M194" s="27"/>
      <c r="N194" s="27"/>
      <c r="O194" s="28"/>
      <c r="P194" s="29"/>
      <c r="Q194" s="54">
        <f t="shared" si="30"/>
        <v>0</v>
      </c>
      <c r="S194" s="45"/>
    </row>
    <row r="195" spans="1:19" s="30" customFormat="1" ht="13" x14ac:dyDescent="0.2">
      <c r="A195" s="41"/>
      <c r="B195" s="41"/>
      <c r="C195" s="41"/>
      <c r="D195" s="41"/>
      <c r="E195" s="41"/>
      <c r="F195" s="41">
        <f>+F192+1</f>
        <v>97</v>
      </c>
      <c r="G195" s="49">
        <f>+G192+1</f>
        <v>163</v>
      </c>
      <c r="H195" s="50" t="s">
        <v>255</v>
      </c>
      <c r="I195" s="51">
        <v>57.48</v>
      </c>
      <c r="J195" s="51">
        <v>57.48</v>
      </c>
      <c r="K195" s="52">
        <v>0.61099999999999999</v>
      </c>
      <c r="L195" s="26"/>
      <c r="M195" s="27">
        <f t="shared" si="26"/>
        <v>0.61058517599469764</v>
      </c>
      <c r="N195" s="27">
        <f t="shared" si="27"/>
        <v>0.61060000000000003</v>
      </c>
      <c r="O195" s="28">
        <f t="shared" si="28"/>
        <v>0.61099999999999999</v>
      </c>
      <c r="P195" s="29">
        <f t="shared" si="29"/>
        <v>0.61</v>
      </c>
      <c r="Q195" s="54">
        <f t="shared" si="30"/>
        <v>17</v>
      </c>
      <c r="S195" s="48"/>
    </row>
    <row r="196" spans="1:19" s="30" customFormat="1" ht="13" x14ac:dyDescent="0.2">
      <c r="A196" s="41"/>
      <c r="B196" s="41"/>
      <c r="C196" s="41"/>
      <c r="D196" s="41"/>
      <c r="E196" s="41"/>
      <c r="F196" s="41">
        <f>+F195+1</f>
        <v>98</v>
      </c>
      <c r="G196" s="49">
        <f t="shared" ref="G196:G202" si="42">+G195+1</f>
        <v>164</v>
      </c>
      <c r="H196" s="50" t="s">
        <v>256</v>
      </c>
      <c r="I196" s="51">
        <v>55.76</v>
      </c>
      <c r="J196" s="51">
        <v>55.76</v>
      </c>
      <c r="K196" s="52">
        <v>0.59199999999999997</v>
      </c>
      <c r="L196" s="26"/>
      <c r="M196" s="27">
        <f t="shared" si="26"/>
        <v>0.59231436001155779</v>
      </c>
      <c r="N196" s="27">
        <f t="shared" si="27"/>
        <v>0.59230000000000005</v>
      </c>
      <c r="O196" s="28">
        <f t="shared" si="28"/>
        <v>0.59199999999999997</v>
      </c>
      <c r="P196" s="29">
        <f t="shared" si="29"/>
        <v>0.59</v>
      </c>
      <c r="Q196" s="54">
        <f t="shared" si="30"/>
        <v>17</v>
      </c>
      <c r="S196" s="52">
        <v>0.61099999999999999</v>
      </c>
    </row>
    <row r="197" spans="1:19" s="30" customFormat="1" ht="13" x14ac:dyDescent="0.2">
      <c r="A197" s="41"/>
      <c r="B197" s="41"/>
      <c r="C197" s="41"/>
      <c r="D197" s="41"/>
      <c r="E197" s="41"/>
      <c r="F197" s="41">
        <f t="shared" ref="F197:F202" si="43">+F196+1</f>
        <v>99</v>
      </c>
      <c r="G197" s="49">
        <f t="shared" si="42"/>
        <v>165</v>
      </c>
      <c r="H197" s="50" t="s">
        <v>257</v>
      </c>
      <c r="I197" s="51">
        <v>55.55</v>
      </c>
      <c r="J197" s="51">
        <v>55.55</v>
      </c>
      <c r="K197" s="52">
        <v>0.59</v>
      </c>
      <c r="L197" s="26"/>
      <c r="M197" s="27">
        <f t="shared" si="26"/>
        <v>0.59008362085082566</v>
      </c>
      <c r="N197" s="27">
        <f t="shared" si="27"/>
        <v>0.59009999999999996</v>
      </c>
      <c r="O197" s="28">
        <f t="shared" si="28"/>
        <v>0.59</v>
      </c>
      <c r="P197" s="29">
        <f t="shared" si="29"/>
        <v>0.59</v>
      </c>
      <c r="Q197" s="54">
        <f t="shared" si="30"/>
        <v>18</v>
      </c>
      <c r="S197" s="52">
        <v>0.59199999999999997</v>
      </c>
    </row>
    <row r="198" spans="1:19" s="30" customFormat="1" ht="13" x14ac:dyDescent="0.2">
      <c r="A198" s="41"/>
      <c r="B198" s="41"/>
      <c r="C198" s="41"/>
      <c r="D198" s="41"/>
      <c r="E198" s="41"/>
      <c r="F198" s="41">
        <f t="shared" si="43"/>
        <v>100</v>
      </c>
      <c r="G198" s="49">
        <f t="shared" si="42"/>
        <v>166</v>
      </c>
      <c r="H198" s="50" t="s">
        <v>258</v>
      </c>
      <c r="I198" s="51">
        <v>62.32</v>
      </c>
      <c r="J198" s="51">
        <v>62.32</v>
      </c>
      <c r="K198" s="52">
        <v>0.66200000000000003</v>
      </c>
      <c r="L198" s="26"/>
      <c r="M198" s="27">
        <f t="shared" si="26"/>
        <v>0.66199840236585872</v>
      </c>
      <c r="N198" s="27">
        <f t="shared" si="27"/>
        <v>0.66200000000000003</v>
      </c>
      <c r="O198" s="28">
        <f t="shared" si="28"/>
        <v>0.66200000000000003</v>
      </c>
      <c r="P198" s="29">
        <f t="shared" si="29"/>
        <v>0.66</v>
      </c>
      <c r="Q198" s="54">
        <f t="shared" si="30"/>
        <v>17</v>
      </c>
      <c r="S198" s="52">
        <v>0.59</v>
      </c>
    </row>
    <row r="199" spans="1:19" s="30" customFormat="1" ht="13" x14ac:dyDescent="0.2">
      <c r="A199" s="41"/>
      <c r="B199" s="41"/>
      <c r="C199" s="41"/>
      <c r="D199" s="41"/>
      <c r="E199" s="41"/>
      <c r="F199" s="41">
        <f t="shared" si="43"/>
        <v>101</v>
      </c>
      <c r="G199" s="49">
        <f t="shared" si="42"/>
        <v>167</v>
      </c>
      <c r="H199" s="50" t="s">
        <v>259</v>
      </c>
      <c r="I199" s="51">
        <v>60.95</v>
      </c>
      <c r="J199" s="51">
        <v>60.95</v>
      </c>
      <c r="K199" s="52">
        <v>0.64700000000000002</v>
      </c>
      <c r="L199" s="26"/>
      <c r="M199" s="27">
        <f t="shared" si="26"/>
        <v>0.64744548498393917</v>
      </c>
      <c r="N199" s="27">
        <f t="shared" si="27"/>
        <v>0.64739999999999998</v>
      </c>
      <c r="O199" s="28">
        <f t="shared" si="28"/>
        <v>0.64700000000000002</v>
      </c>
      <c r="P199" s="29">
        <f t="shared" si="29"/>
        <v>0.65</v>
      </c>
      <c r="Q199" s="54">
        <f t="shared" si="30"/>
        <v>17</v>
      </c>
      <c r="S199" s="52">
        <v>0.66200000000000003</v>
      </c>
    </row>
    <row r="200" spans="1:19" s="30" customFormat="1" ht="13" x14ac:dyDescent="0.2">
      <c r="A200" s="41"/>
      <c r="B200" s="41"/>
      <c r="C200" s="41"/>
      <c r="D200" s="41"/>
      <c r="E200" s="41"/>
      <c r="F200" s="41">
        <f t="shared" si="43"/>
        <v>102</v>
      </c>
      <c r="G200" s="49">
        <f t="shared" si="42"/>
        <v>168</v>
      </c>
      <c r="H200" s="50" t="s">
        <v>260</v>
      </c>
      <c r="I200" s="51">
        <v>61.16</v>
      </c>
      <c r="J200" s="51">
        <v>61.16</v>
      </c>
      <c r="K200" s="52">
        <v>0.65</v>
      </c>
      <c r="L200" s="26"/>
      <c r="M200" s="27">
        <f t="shared" ref="M200:M252" si="44">+I200*100/$I$253</f>
        <v>0.64967622414467141</v>
      </c>
      <c r="N200" s="27">
        <f t="shared" ref="N200:N252" si="45">+ROUND(M200,4)</f>
        <v>0.64970000000000006</v>
      </c>
      <c r="O200" s="28">
        <f t="shared" ref="O200:O252" si="46">+ROUND(M200,3)</f>
        <v>0.65</v>
      </c>
      <c r="P200" s="29">
        <f t="shared" ref="P200:P252" si="47">+ROUND(M200,2)</f>
        <v>0.65</v>
      </c>
      <c r="Q200" s="54">
        <f t="shared" ref="Q200:Q252" si="48">+COUNTIF($O$7:$O$252,O200)</f>
        <v>34</v>
      </c>
      <c r="S200" s="52">
        <v>0.64700000000000002</v>
      </c>
    </row>
    <row r="201" spans="1:19" s="30" customFormat="1" ht="13" x14ac:dyDescent="0.2">
      <c r="A201" s="41"/>
      <c r="B201" s="41"/>
      <c r="C201" s="41"/>
      <c r="D201" s="41"/>
      <c r="E201" s="41"/>
      <c r="F201" s="41">
        <f t="shared" si="43"/>
        <v>103</v>
      </c>
      <c r="G201" s="49">
        <f t="shared" si="42"/>
        <v>169</v>
      </c>
      <c r="H201" s="50" t="s">
        <v>261</v>
      </c>
      <c r="I201" s="51">
        <v>61.18</v>
      </c>
      <c r="J201" s="51">
        <v>61.18</v>
      </c>
      <c r="K201" s="52">
        <v>0.65</v>
      </c>
      <c r="L201" s="26"/>
      <c r="M201" s="27">
        <f t="shared" si="44"/>
        <v>0.64988867549331253</v>
      </c>
      <c r="N201" s="27">
        <f t="shared" si="45"/>
        <v>0.64990000000000003</v>
      </c>
      <c r="O201" s="28">
        <f t="shared" si="46"/>
        <v>0.65</v>
      </c>
      <c r="P201" s="29">
        <f t="shared" si="47"/>
        <v>0.65</v>
      </c>
      <c r="Q201" s="54">
        <f t="shared" si="48"/>
        <v>34</v>
      </c>
      <c r="S201" s="52">
        <v>0.65</v>
      </c>
    </row>
    <row r="202" spans="1:19" s="30" customFormat="1" ht="13" x14ac:dyDescent="0.2">
      <c r="A202" s="41"/>
      <c r="B202" s="41"/>
      <c r="C202" s="41"/>
      <c r="D202" s="41"/>
      <c r="E202" s="41"/>
      <c r="F202" s="41">
        <f t="shared" si="43"/>
        <v>104</v>
      </c>
      <c r="G202" s="49">
        <f t="shared" si="42"/>
        <v>170</v>
      </c>
      <c r="H202" s="50" t="s">
        <v>262</v>
      </c>
      <c r="I202" s="51">
        <v>57.23</v>
      </c>
      <c r="J202" s="51">
        <v>57.23</v>
      </c>
      <c r="K202" s="52">
        <v>0.60799999999999998</v>
      </c>
      <c r="L202" s="26"/>
      <c r="M202" s="27">
        <f t="shared" si="44"/>
        <v>0.60792953413668316</v>
      </c>
      <c r="N202" s="27">
        <f t="shared" si="45"/>
        <v>0.6079</v>
      </c>
      <c r="O202" s="28">
        <f t="shared" si="46"/>
        <v>0.60799999999999998</v>
      </c>
      <c r="P202" s="29">
        <f t="shared" si="47"/>
        <v>0.61</v>
      </c>
      <c r="Q202" s="54">
        <f t="shared" si="48"/>
        <v>17</v>
      </c>
      <c r="S202" s="52">
        <v>0.65</v>
      </c>
    </row>
    <row r="203" spans="1:19" s="30" customFormat="1" ht="13" x14ac:dyDescent="0.2">
      <c r="A203" s="41"/>
      <c r="B203" s="41"/>
      <c r="C203" s="41"/>
      <c r="D203" s="41"/>
      <c r="E203" s="41"/>
      <c r="F203" s="41"/>
      <c r="G203" s="42" t="s">
        <v>74</v>
      </c>
      <c r="H203" s="42" t="s">
        <v>263</v>
      </c>
      <c r="I203" s="56"/>
      <c r="J203" s="57"/>
      <c r="K203" s="45"/>
      <c r="L203" s="26"/>
      <c r="M203" s="27"/>
      <c r="N203" s="27"/>
      <c r="O203" s="28"/>
      <c r="P203" s="29"/>
      <c r="Q203" s="54">
        <f t="shared" si="48"/>
        <v>0</v>
      </c>
      <c r="S203" s="52">
        <v>0.60799999999999998</v>
      </c>
    </row>
    <row r="204" spans="1:19" s="30" customFormat="1" x14ac:dyDescent="0.2">
      <c r="A204" s="41"/>
      <c r="B204" s="41"/>
      <c r="C204" s="41"/>
      <c r="D204" s="41"/>
      <c r="E204" s="41"/>
      <c r="F204" s="41"/>
      <c r="G204" s="46"/>
      <c r="H204" s="46" t="s">
        <v>76</v>
      </c>
      <c r="I204" s="47" t="s">
        <v>77</v>
      </c>
      <c r="J204" s="47" t="s">
        <v>78</v>
      </c>
      <c r="K204" s="48" t="s">
        <v>79</v>
      </c>
      <c r="L204" s="26"/>
      <c r="M204" s="27"/>
      <c r="N204" s="27"/>
      <c r="O204" s="28"/>
      <c r="P204" s="29"/>
      <c r="Q204" s="54">
        <f t="shared" si="48"/>
        <v>0</v>
      </c>
      <c r="S204" s="45"/>
    </row>
    <row r="205" spans="1:19" s="30" customFormat="1" ht="13" x14ac:dyDescent="0.2">
      <c r="A205" s="41"/>
      <c r="B205" s="41"/>
      <c r="C205" s="41"/>
      <c r="D205" s="41"/>
      <c r="E205" s="41"/>
      <c r="F205" s="41">
        <f>+F202+1</f>
        <v>105</v>
      </c>
      <c r="G205" s="49">
        <f>+G202+1</f>
        <v>171</v>
      </c>
      <c r="H205" s="50" t="s">
        <v>264</v>
      </c>
      <c r="I205" s="51">
        <v>57.48</v>
      </c>
      <c r="J205" s="51">
        <v>57.48</v>
      </c>
      <c r="K205" s="52">
        <v>0.61099999999999999</v>
      </c>
      <c r="L205" s="26"/>
      <c r="M205" s="27">
        <f t="shared" si="44"/>
        <v>0.61058517599469764</v>
      </c>
      <c r="N205" s="27">
        <f t="shared" si="45"/>
        <v>0.61060000000000003</v>
      </c>
      <c r="O205" s="28">
        <f t="shared" si="46"/>
        <v>0.61099999999999999</v>
      </c>
      <c r="P205" s="29">
        <f t="shared" si="47"/>
        <v>0.61</v>
      </c>
      <c r="Q205" s="54">
        <f t="shared" si="48"/>
        <v>17</v>
      </c>
      <c r="S205" s="48"/>
    </row>
    <row r="206" spans="1:19" s="30" customFormat="1" ht="13" x14ac:dyDescent="0.2">
      <c r="A206" s="41"/>
      <c r="B206" s="41"/>
      <c r="C206" s="41"/>
      <c r="D206" s="41"/>
      <c r="E206" s="41"/>
      <c r="F206" s="41">
        <f>+F205+1</f>
        <v>106</v>
      </c>
      <c r="G206" s="49">
        <f t="shared" ref="G206:G212" si="49">+G205+1</f>
        <v>172</v>
      </c>
      <c r="H206" s="50" t="s">
        <v>265</v>
      </c>
      <c r="I206" s="51">
        <v>55.76</v>
      </c>
      <c r="J206" s="51">
        <v>55.76</v>
      </c>
      <c r="K206" s="52">
        <v>0.59199999999999997</v>
      </c>
      <c r="L206" s="26"/>
      <c r="M206" s="27">
        <f t="shared" si="44"/>
        <v>0.59231436001155779</v>
      </c>
      <c r="N206" s="27">
        <f t="shared" si="45"/>
        <v>0.59230000000000005</v>
      </c>
      <c r="O206" s="28">
        <f t="shared" si="46"/>
        <v>0.59199999999999997</v>
      </c>
      <c r="P206" s="29">
        <f t="shared" si="47"/>
        <v>0.59</v>
      </c>
      <c r="Q206" s="54">
        <f t="shared" si="48"/>
        <v>17</v>
      </c>
      <c r="S206" s="52">
        <v>0.61099999999999999</v>
      </c>
    </row>
    <row r="207" spans="1:19" s="30" customFormat="1" ht="13" x14ac:dyDescent="0.2">
      <c r="A207" s="41"/>
      <c r="B207" s="41"/>
      <c r="C207" s="41"/>
      <c r="D207" s="41"/>
      <c r="E207" s="41"/>
      <c r="F207" s="41">
        <f t="shared" ref="F207:F212" si="50">+F206+1</f>
        <v>107</v>
      </c>
      <c r="G207" s="49">
        <f t="shared" si="49"/>
        <v>173</v>
      </c>
      <c r="H207" s="50" t="s">
        <v>266</v>
      </c>
      <c r="I207" s="51">
        <v>55.55</v>
      </c>
      <c r="J207" s="51">
        <v>55.55</v>
      </c>
      <c r="K207" s="52">
        <v>0.59</v>
      </c>
      <c r="L207" s="26"/>
      <c r="M207" s="27">
        <f t="shared" si="44"/>
        <v>0.59008362085082566</v>
      </c>
      <c r="N207" s="27">
        <f t="shared" si="45"/>
        <v>0.59009999999999996</v>
      </c>
      <c r="O207" s="28">
        <f t="shared" si="46"/>
        <v>0.59</v>
      </c>
      <c r="P207" s="29">
        <f t="shared" si="47"/>
        <v>0.59</v>
      </c>
      <c r="Q207" s="54">
        <f t="shared" si="48"/>
        <v>18</v>
      </c>
      <c r="S207" s="52">
        <v>0.59199999999999997</v>
      </c>
    </row>
    <row r="208" spans="1:19" s="30" customFormat="1" ht="13" x14ac:dyDescent="0.2">
      <c r="A208" s="41"/>
      <c r="B208" s="41"/>
      <c r="C208" s="41"/>
      <c r="D208" s="41"/>
      <c r="E208" s="41"/>
      <c r="F208" s="41">
        <f t="shared" si="50"/>
        <v>108</v>
      </c>
      <c r="G208" s="49">
        <f t="shared" si="49"/>
        <v>174</v>
      </c>
      <c r="H208" s="50" t="s">
        <v>267</v>
      </c>
      <c r="I208" s="51">
        <v>62.32</v>
      </c>
      <c r="J208" s="51">
        <v>62.32</v>
      </c>
      <c r="K208" s="52">
        <v>0.66200000000000003</v>
      </c>
      <c r="L208" s="26"/>
      <c r="M208" s="27">
        <f t="shared" si="44"/>
        <v>0.66199840236585872</v>
      </c>
      <c r="N208" s="27">
        <f t="shared" si="45"/>
        <v>0.66200000000000003</v>
      </c>
      <c r="O208" s="28">
        <f t="shared" si="46"/>
        <v>0.66200000000000003</v>
      </c>
      <c r="P208" s="29">
        <f t="shared" si="47"/>
        <v>0.66</v>
      </c>
      <c r="Q208" s="54">
        <f t="shared" si="48"/>
        <v>17</v>
      </c>
      <c r="S208" s="52">
        <v>0.59</v>
      </c>
    </row>
    <row r="209" spans="1:19" s="30" customFormat="1" ht="13" x14ac:dyDescent="0.2">
      <c r="A209" s="41"/>
      <c r="B209" s="41"/>
      <c r="C209" s="41"/>
      <c r="D209" s="41"/>
      <c r="E209" s="41"/>
      <c r="F209" s="41">
        <f t="shared" si="50"/>
        <v>109</v>
      </c>
      <c r="G209" s="49">
        <f t="shared" si="49"/>
        <v>175</v>
      </c>
      <c r="H209" s="50" t="s">
        <v>268</v>
      </c>
      <c r="I209" s="51">
        <v>60.95</v>
      </c>
      <c r="J209" s="51">
        <v>60.95</v>
      </c>
      <c r="K209" s="52">
        <v>0.64700000000000002</v>
      </c>
      <c r="L209" s="26"/>
      <c r="M209" s="27">
        <f t="shared" si="44"/>
        <v>0.64744548498393917</v>
      </c>
      <c r="N209" s="27">
        <f t="shared" si="45"/>
        <v>0.64739999999999998</v>
      </c>
      <c r="O209" s="28">
        <f t="shared" si="46"/>
        <v>0.64700000000000002</v>
      </c>
      <c r="P209" s="29">
        <f t="shared" si="47"/>
        <v>0.65</v>
      </c>
      <c r="Q209" s="54">
        <f t="shared" si="48"/>
        <v>17</v>
      </c>
      <c r="S209" s="52">
        <v>0.66200000000000003</v>
      </c>
    </row>
    <row r="210" spans="1:19" s="30" customFormat="1" ht="13" x14ac:dyDescent="0.2">
      <c r="A210" s="41"/>
      <c r="B210" s="41"/>
      <c r="C210" s="41"/>
      <c r="D210" s="41"/>
      <c r="E210" s="41"/>
      <c r="F210" s="41">
        <f t="shared" si="50"/>
        <v>110</v>
      </c>
      <c r="G210" s="49">
        <f t="shared" si="49"/>
        <v>176</v>
      </c>
      <c r="H210" s="50" t="s">
        <v>269</v>
      </c>
      <c r="I210" s="51">
        <v>61.16</v>
      </c>
      <c r="J210" s="51">
        <v>61.16</v>
      </c>
      <c r="K210" s="52">
        <v>0.65</v>
      </c>
      <c r="L210" s="26"/>
      <c r="M210" s="27">
        <f t="shared" si="44"/>
        <v>0.64967622414467141</v>
      </c>
      <c r="N210" s="27">
        <f t="shared" si="45"/>
        <v>0.64970000000000006</v>
      </c>
      <c r="O210" s="28">
        <f t="shared" si="46"/>
        <v>0.65</v>
      </c>
      <c r="P210" s="29">
        <f t="shared" si="47"/>
        <v>0.65</v>
      </c>
      <c r="Q210" s="54">
        <f t="shared" si="48"/>
        <v>34</v>
      </c>
      <c r="S210" s="52">
        <v>0.64700000000000002</v>
      </c>
    </row>
    <row r="211" spans="1:19" s="30" customFormat="1" ht="13" x14ac:dyDescent="0.2">
      <c r="A211" s="41"/>
      <c r="B211" s="41"/>
      <c r="C211" s="41"/>
      <c r="D211" s="41"/>
      <c r="E211" s="41"/>
      <c r="F211" s="41">
        <f t="shared" si="50"/>
        <v>111</v>
      </c>
      <c r="G211" s="49">
        <f t="shared" si="49"/>
        <v>177</v>
      </c>
      <c r="H211" s="50" t="s">
        <v>270</v>
      </c>
      <c r="I211" s="51">
        <v>61.18</v>
      </c>
      <c r="J211" s="51">
        <v>61.18</v>
      </c>
      <c r="K211" s="52">
        <v>0.65</v>
      </c>
      <c r="L211" s="26"/>
      <c r="M211" s="27">
        <f t="shared" si="44"/>
        <v>0.64988867549331253</v>
      </c>
      <c r="N211" s="27">
        <f t="shared" si="45"/>
        <v>0.64990000000000003</v>
      </c>
      <c r="O211" s="28">
        <f t="shared" si="46"/>
        <v>0.65</v>
      </c>
      <c r="P211" s="29">
        <f t="shared" si="47"/>
        <v>0.65</v>
      </c>
      <c r="Q211" s="54">
        <f t="shared" si="48"/>
        <v>34</v>
      </c>
      <c r="S211" s="52">
        <v>0.65</v>
      </c>
    </row>
    <row r="212" spans="1:19" s="30" customFormat="1" ht="13" x14ac:dyDescent="0.2">
      <c r="A212" s="41"/>
      <c r="B212" s="41"/>
      <c r="C212" s="41"/>
      <c r="D212" s="41"/>
      <c r="E212" s="41"/>
      <c r="F212" s="41">
        <f t="shared" si="50"/>
        <v>112</v>
      </c>
      <c r="G212" s="49">
        <f t="shared" si="49"/>
        <v>178</v>
      </c>
      <c r="H212" s="50" t="s">
        <v>271</v>
      </c>
      <c r="I212" s="51">
        <v>57.23</v>
      </c>
      <c r="J212" s="51">
        <v>57.23</v>
      </c>
      <c r="K212" s="52">
        <v>0.60799999999999998</v>
      </c>
      <c r="L212" s="26"/>
      <c r="M212" s="27">
        <f t="shared" si="44"/>
        <v>0.60792953413668316</v>
      </c>
      <c r="N212" s="27">
        <f t="shared" si="45"/>
        <v>0.6079</v>
      </c>
      <c r="O212" s="28">
        <f t="shared" si="46"/>
        <v>0.60799999999999998</v>
      </c>
      <c r="P212" s="29">
        <f t="shared" si="47"/>
        <v>0.61</v>
      </c>
      <c r="Q212" s="54">
        <f t="shared" si="48"/>
        <v>17</v>
      </c>
      <c r="S212" s="52">
        <v>0.65</v>
      </c>
    </row>
    <row r="213" spans="1:19" s="30" customFormat="1" ht="13" x14ac:dyDescent="0.2">
      <c r="A213" s="41"/>
      <c r="B213" s="41"/>
      <c r="C213" s="41"/>
      <c r="D213" s="41"/>
      <c r="E213" s="41"/>
      <c r="F213" s="41"/>
      <c r="G213" s="42" t="s">
        <v>74</v>
      </c>
      <c r="H213" s="42" t="s">
        <v>272</v>
      </c>
      <c r="I213" s="56"/>
      <c r="J213" s="57"/>
      <c r="K213" s="45"/>
      <c r="L213" s="26"/>
      <c r="M213" s="27"/>
      <c r="N213" s="27"/>
      <c r="O213" s="28"/>
      <c r="P213" s="29"/>
      <c r="Q213" s="54">
        <f t="shared" si="48"/>
        <v>0</v>
      </c>
      <c r="S213" s="52">
        <v>0.60799999999999998</v>
      </c>
    </row>
    <row r="214" spans="1:19" s="30" customFormat="1" x14ac:dyDescent="0.2">
      <c r="A214" s="41"/>
      <c r="B214" s="41"/>
      <c r="C214" s="41"/>
      <c r="D214" s="41"/>
      <c r="E214" s="41"/>
      <c r="F214" s="41"/>
      <c r="G214" s="46"/>
      <c r="H214" s="46" t="s">
        <v>76</v>
      </c>
      <c r="I214" s="47" t="s">
        <v>77</v>
      </c>
      <c r="J214" s="47" t="s">
        <v>78</v>
      </c>
      <c r="K214" s="48" t="s">
        <v>79</v>
      </c>
      <c r="L214" s="26"/>
      <c r="M214" s="27"/>
      <c r="N214" s="27"/>
      <c r="O214" s="28"/>
      <c r="P214" s="29"/>
      <c r="Q214" s="54">
        <f t="shared" si="48"/>
        <v>0</v>
      </c>
      <c r="S214" s="45"/>
    </row>
    <row r="215" spans="1:19" s="30" customFormat="1" ht="13" x14ac:dyDescent="0.2">
      <c r="A215" s="41"/>
      <c r="B215" s="41"/>
      <c r="C215" s="41"/>
      <c r="D215" s="41"/>
      <c r="E215" s="41"/>
      <c r="F215" s="41">
        <f>+F212+1</f>
        <v>113</v>
      </c>
      <c r="G215" s="49">
        <f>+G212+1</f>
        <v>179</v>
      </c>
      <c r="H215" s="50" t="s">
        <v>273</v>
      </c>
      <c r="I215" s="51">
        <v>57.48</v>
      </c>
      <c r="J215" s="51">
        <v>57.48</v>
      </c>
      <c r="K215" s="52">
        <v>0.61099999999999999</v>
      </c>
      <c r="L215" s="26"/>
      <c r="M215" s="27">
        <f t="shared" si="44"/>
        <v>0.61058517599469764</v>
      </c>
      <c r="N215" s="27">
        <f t="shared" si="45"/>
        <v>0.61060000000000003</v>
      </c>
      <c r="O215" s="28">
        <f t="shared" si="46"/>
        <v>0.61099999999999999</v>
      </c>
      <c r="P215" s="29">
        <f t="shared" si="47"/>
        <v>0.61</v>
      </c>
      <c r="Q215" s="54">
        <f t="shared" si="48"/>
        <v>17</v>
      </c>
      <c r="S215" s="48"/>
    </row>
    <row r="216" spans="1:19" s="30" customFormat="1" ht="13" x14ac:dyDescent="0.2">
      <c r="A216" s="41"/>
      <c r="B216" s="41"/>
      <c r="C216" s="41"/>
      <c r="D216" s="41"/>
      <c r="E216" s="41"/>
      <c r="F216" s="41">
        <f>+F215+1</f>
        <v>114</v>
      </c>
      <c r="G216" s="49">
        <f t="shared" ref="G216:G222" si="51">+G215+1</f>
        <v>180</v>
      </c>
      <c r="H216" s="50" t="s">
        <v>274</v>
      </c>
      <c r="I216" s="51">
        <v>55.76</v>
      </c>
      <c r="J216" s="51">
        <v>55.76</v>
      </c>
      <c r="K216" s="52">
        <v>0.59199999999999997</v>
      </c>
      <c r="L216" s="26"/>
      <c r="M216" s="27">
        <f t="shared" si="44"/>
        <v>0.59231436001155779</v>
      </c>
      <c r="N216" s="27">
        <f t="shared" si="45"/>
        <v>0.59230000000000005</v>
      </c>
      <c r="O216" s="28">
        <f t="shared" si="46"/>
        <v>0.59199999999999997</v>
      </c>
      <c r="P216" s="29">
        <f t="shared" si="47"/>
        <v>0.59</v>
      </c>
      <c r="Q216" s="54">
        <f t="shared" si="48"/>
        <v>17</v>
      </c>
      <c r="S216" s="52">
        <v>0.61099999999999999</v>
      </c>
    </row>
    <row r="217" spans="1:19" s="30" customFormat="1" ht="13" x14ac:dyDescent="0.2">
      <c r="A217" s="41"/>
      <c r="B217" s="41"/>
      <c r="C217" s="41"/>
      <c r="D217" s="41"/>
      <c r="E217" s="41"/>
      <c r="F217" s="41">
        <f t="shared" ref="F217:F222" si="52">+F216+1</f>
        <v>115</v>
      </c>
      <c r="G217" s="49">
        <f t="shared" si="51"/>
        <v>181</v>
      </c>
      <c r="H217" s="50" t="s">
        <v>275</v>
      </c>
      <c r="I217" s="51">
        <v>55.55</v>
      </c>
      <c r="J217" s="51">
        <v>55.55</v>
      </c>
      <c r="K217" s="52">
        <v>0.59</v>
      </c>
      <c r="L217" s="26"/>
      <c r="M217" s="27">
        <f t="shared" si="44"/>
        <v>0.59008362085082566</v>
      </c>
      <c r="N217" s="27">
        <f t="shared" si="45"/>
        <v>0.59009999999999996</v>
      </c>
      <c r="O217" s="28">
        <f t="shared" si="46"/>
        <v>0.59</v>
      </c>
      <c r="P217" s="29">
        <f t="shared" si="47"/>
        <v>0.59</v>
      </c>
      <c r="Q217" s="54">
        <f t="shared" si="48"/>
        <v>18</v>
      </c>
      <c r="S217" s="52">
        <v>0.59199999999999997</v>
      </c>
    </row>
    <row r="218" spans="1:19" s="30" customFormat="1" ht="13" x14ac:dyDescent="0.2">
      <c r="A218" s="41"/>
      <c r="B218" s="41"/>
      <c r="C218" s="41"/>
      <c r="D218" s="41"/>
      <c r="E218" s="41"/>
      <c r="F218" s="41">
        <f t="shared" si="52"/>
        <v>116</v>
      </c>
      <c r="G218" s="49">
        <f t="shared" si="51"/>
        <v>182</v>
      </c>
      <c r="H218" s="50" t="s">
        <v>276</v>
      </c>
      <c r="I218" s="51">
        <v>62.32</v>
      </c>
      <c r="J218" s="51">
        <v>62.32</v>
      </c>
      <c r="K218" s="52">
        <v>0.66200000000000003</v>
      </c>
      <c r="L218" s="26"/>
      <c r="M218" s="27">
        <f t="shared" si="44"/>
        <v>0.66199840236585872</v>
      </c>
      <c r="N218" s="27">
        <f t="shared" si="45"/>
        <v>0.66200000000000003</v>
      </c>
      <c r="O218" s="28">
        <f t="shared" si="46"/>
        <v>0.66200000000000003</v>
      </c>
      <c r="P218" s="29">
        <f t="shared" si="47"/>
        <v>0.66</v>
      </c>
      <c r="Q218" s="54">
        <f t="shared" si="48"/>
        <v>17</v>
      </c>
      <c r="S218" s="52">
        <v>0.59</v>
      </c>
    </row>
    <row r="219" spans="1:19" s="30" customFormat="1" ht="13" x14ac:dyDescent="0.2">
      <c r="A219" s="41"/>
      <c r="B219" s="41"/>
      <c r="C219" s="41"/>
      <c r="D219" s="41"/>
      <c r="E219" s="41"/>
      <c r="F219" s="41">
        <f t="shared" si="52"/>
        <v>117</v>
      </c>
      <c r="G219" s="49">
        <f t="shared" si="51"/>
        <v>183</v>
      </c>
      <c r="H219" s="50" t="s">
        <v>277</v>
      </c>
      <c r="I219" s="51">
        <v>60.95</v>
      </c>
      <c r="J219" s="51">
        <v>60.95</v>
      </c>
      <c r="K219" s="52">
        <v>0.64700000000000002</v>
      </c>
      <c r="L219" s="26"/>
      <c r="M219" s="27">
        <f t="shared" si="44"/>
        <v>0.64744548498393917</v>
      </c>
      <c r="N219" s="27">
        <f t="shared" si="45"/>
        <v>0.64739999999999998</v>
      </c>
      <c r="O219" s="28">
        <f t="shared" si="46"/>
        <v>0.64700000000000002</v>
      </c>
      <c r="P219" s="29">
        <f t="shared" si="47"/>
        <v>0.65</v>
      </c>
      <c r="Q219" s="54">
        <f t="shared" si="48"/>
        <v>17</v>
      </c>
      <c r="S219" s="52">
        <v>0.66200000000000003</v>
      </c>
    </row>
    <row r="220" spans="1:19" s="30" customFormat="1" ht="13" x14ac:dyDescent="0.2">
      <c r="A220" s="41"/>
      <c r="B220" s="41"/>
      <c r="C220" s="41"/>
      <c r="D220" s="41"/>
      <c r="E220" s="41"/>
      <c r="F220" s="41">
        <f t="shared" si="52"/>
        <v>118</v>
      </c>
      <c r="G220" s="49">
        <f t="shared" si="51"/>
        <v>184</v>
      </c>
      <c r="H220" s="50" t="s">
        <v>278</v>
      </c>
      <c r="I220" s="51">
        <v>61.16</v>
      </c>
      <c r="J220" s="51">
        <v>61.16</v>
      </c>
      <c r="K220" s="52">
        <v>0.65</v>
      </c>
      <c r="L220" s="26"/>
      <c r="M220" s="27">
        <f t="shared" si="44"/>
        <v>0.64967622414467141</v>
      </c>
      <c r="N220" s="27">
        <f t="shared" si="45"/>
        <v>0.64970000000000006</v>
      </c>
      <c r="O220" s="28">
        <f t="shared" si="46"/>
        <v>0.65</v>
      </c>
      <c r="P220" s="29">
        <f t="shared" si="47"/>
        <v>0.65</v>
      </c>
      <c r="Q220" s="54">
        <f t="shared" si="48"/>
        <v>34</v>
      </c>
      <c r="S220" s="52">
        <v>0.64700000000000002</v>
      </c>
    </row>
    <row r="221" spans="1:19" s="30" customFormat="1" ht="13" x14ac:dyDescent="0.2">
      <c r="A221" s="41"/>
      <c r="B221" s="41"/>
      <c r="C221" s="41"/>
      <c r="D221" s="41"/>
      <c r="E221" s="41"/>
      <c r="F221" s="41">
        <f t="shared" si="52"/>
        <v>119</v>
      </c>
      <c r="G221" s="49">
        <f t="shared" si="51"/>
        <v>185</v>
      </c>
      <c r="H221" s="50" t="s">
        <v>279</v>
      </c>
      <c r="I221" s="51">
        <v>61.18</v>
      </c>
      <c r="J221" s="51">
        <v>61.18</v>
      </c>
      <c r="K221" s="52">
        <v>0.65</v>
      </c>
      <c r="L221" s="26"/>
      <c r="M221" s="27">
        <f t="shared" si="44"/>
        <v>0.64988867549331253</v>
      </c>
      <c r="N221" s="27">
        <f t="shared" si="45"/>
        <v>0.64990000000000003</v>
      </c>
      <c r="O221" s="28">
        <f t="shared" si="46"/>
        <v>0.65</v>
      </c>
      <c r="P221" s="29">
        <f t="shared" si="47"/>
        <v>0.65</v>
      </c>
      <c r="Q221" s="54">
        <f t="shared" si="48"/>
        <v>34</v>
      </c>
      <c r="S221" s="52">
        <v>0.65</v>
      </c>
    </row>
    <row r="222" spans="1:19" s="30" customFormat="1" ht="13" x14ac:dyDescent="0.2">
      <c r="A222" s="41"/>
      <c r="B222" s="41"/>
      <c r="C222" s="41"/>
      <c r="D222" s="41"/>
      <c r="E222" s="41"/>
      <c r="F222" s="41">
        <f t="shared" si="52"/>
        <v>120</v>
      </c>
      <c r="G222" s="49">
        <f t="shared" si="51"/>
        <v>186</v>
      </c>
      <c r="H222" s="50" t="s">
        <v>280</v>
      </c>
      <c r="I222" s="51">
        <v>57.23</v>
      </c>
      <c r="J222" s="51">
        <v>57.23</v>
      </c>
      <c r="K222" s="52">
        <v>0.60799999999999998</v>
      </c>
      <c r="L222" s="26"/>
      <c r="M222" s="27">
        <f t="shared" si="44"/>
        <v>0.60792953413668316</v>
      </c>
      <c r="N222" s="27">
        <f t="shared" si="45"/>
        <v>0.6079</v>
      </c>
      <c r="O222" s="28">
        <f t="shared" si="46"/>
        <v>0.60799999999999998</v>
      </c>
      <c r="P222" s="29">
        <f t="shared" si="47"/>
        <v>0.61</v>
      </c>
      <c r="Q222" s="54">
        <f t="shared" si="48"/>
        <v>17</v>
      </c>
      <c r="S222" s="52">
        <v>0.65</v>
      </c>
    </row>
    <row r="223" spans="1:19" s="30" customFormat="1" ht="13" x14ac:dyDescent="0.2">
      <c r="A223" s="41"/>
      <c r="B223" s="41"/>
      <c r="C223" s="41"/>
      <c r="D223" s="41"/>
      <c r="E223" s="41"/>
      <c r="F223" s="41"/>
      <c r="G223" s="42" t="s">
        <v>74</v>
      </c>
      <c r="H223" s="42" t="s">
        <v>281</v>
      </c>
      <c r="I223" s="56"/>
      <c r="J223" s="57"/>
      <c r="K223" s="45"/>
      <c r="L223" s="26"/>
      <c r="M223" s="27"/>
      <c r="N223" s="27"/>
      <c r="O223" s="28"/>
      <c r="P223" s="29"/>
      <c r="Q223" s="54">
        <f t="shared" si="48"/>
        <v>0</v>
      </c>
      <c r="S223" s="52">
        <v>0.60799999999999998</v>
      </c>
    </row>
    <row r="224" spans="1:19" s="30" customFormat="1" x14ac:dyDescent="0.2">
      <c r="A224" s="41"/>
      <c r="B224" s="41"/>
      <c r="C224" s="41"/>
      <c r="D224" s="41"/>
      <c r="E224" s="41"/>
      <c r="F224" s="41"/>
      <c r="G224" s="46"/>
      <c r="H224" s="46" t="s">
        <v>76</v>
      </c>
      <c r="I224" s="47" t="s">
        <v>77</v>
      </c>
      <c r="J224" s="47" t="s">
        <v>78</v>
      </c>
      <c r="K224" s="48" t="s">
        <v>79</v>
      </c>
      <c r="L224" s="26"/>
      <c r="M224" s="27"/>
      <c r="N224" s="27"/>
      <c r="O224" s="28"/>
      <c r="P224" s="29"/>
      <c r="Q224" s="54">
        <f t="shared" si="48"/>
        <v>0</v>
      </c>
      <c r="S224" s="45"/>
    </row>
    <row r="225" spans="1:19" s="30" customFormat="1" ht="13" x14ac:dyDescent="0.2">
      <c r="A225" s="41"/>
      <c r="B225" s="41"/>
      <c r="C225" s="41"/>
      <c r="D225" s="41"/>
      <c r="E225" s="41"/>
      <c r="F225" s="41">
        <f>+F222+1</f>
        <v>121</v>
      </c>
      <c r="G225" s="49">
        <f>+G222+1</f>
        <v>187</v>
      </c>
      <c r="H225" s="50" t="s">
        <v>282</v>
      </c>
      <c r="I225" s="51">
        <v>57.48</v>
      </c>
      <c r="J225" s="51">
        <v>57.48</v>
      </c>
      <c r="K225" s="52">
        <v>0.61099999999999999</v>
      </c>
      <c r="L225" s="26"/>
      <c r="M225" s="27">
        <f t="shared" si="44"/>
        <v>0.61058517599469764</v>
      </c>
      <c r="N225" s="27">
        <f t="shared" si="45"/>
        <v>0.61060000000000003</v>
      </c>
      <c r="O225" s="28">
        <f t="shared" si="46"/>
        <v>0.61099999999999999</v>
      </c>
      <c r="P225" s="29">
        <f t="shared" si="47"/>
        <v>0.61</v>
      </c>
      <c r="Q225" s="54">
        <f t="shared" si="48"/>
        <v>17</v>
      </c>
      <c r="S225" s="48"/>
    </row>
    <row r="226" spans="1:19" s="30" customFormat="1" ht="13" x14ac:dyDescent="0.2">
      <c r="A226" s="41"/>
      <c r="B226" s="41"/>
      <c r="C226" s="41"/>
      <c r="D226" s="41"/>
      <c r="E226" s="41"/>
      <c r="F226" s="41">
        <f>+F225+1</f>
        <v>122</v>
      </c>
      <c r="G226" s="49">
        <f t="shared" ref="G226:G232" si="53">+G225+1</f>
        <v>188</v>
      </c>
      <c r="H226" s="50" t="s">
        <v>283</v>
      </c>
      <c r="I226" s="51">
        <v>55.76</v>
      </c>
      <c r="J226" s="51">
        <v>55.76</v>
      </c>
      <c r="K226" s="52">
        <v>0.59199999999999997</v>
      </c>
      <c r="L226" s="26"/>
      <c r="M226" s="27">
        <f t="shared" si="44"/>
        <v>0.59231436001155779</v>
      </c>
      <c r="N226" s="27">
        <f t="shared" si="45"/>
        <v>0.59230000000000005</v>
      </c>
      <c r="O226" s="28">
        <f t="shared" si="46"/>
        <v>0.59199999999999997</v>
      </c>
      <c r="P226" s="29">
        <f t="shared" si="47"/>
        <v>0.59</v>
      </c>
      <c r="Q226" s="54">
        <f t="shared" si="48"/>
        <v>17</v>
      </c>
      <c r="S226" s="52">
        <v>0.61099999999999999</v>
      </c>
    </row>
    <row r="227" spans="1:19" s="30" customFormat="1" ht="13" x14ac:dyDescent="0.2">
      <c r="A227" s="41"/>
      <c r="B227" s="41"/>
      <c r="C227" s="41"/>
      <c r="D227" s="41"/>
      <c r="E227" s="41"/>
      <c r="F227" s="41">
        <f t="shared" ref="F227:F232" si="54">+F226+1</f>
        <v>123</v>
      </c>
      <c r="G227" s="49">
        <f t="shared" si="53"/>
        <v>189</v>
      </c>
      <c r="H227" s="50" t="s">
        <v>284</v>
      </c>
      <c r="I227" s="51">
        <v>55.55</v>
      </c>
      <c r="J227" s="51">
        <v>55.55</v>
      </c>
      <c r="K227" s="52">
        <v>0.59</v>
      </c>
      <c r="L227" s="26"/>
      <c r="M227" s="27">
        <f t="shared" si="44"/>
        <v>0.59008362085082566</v>
      </c>
      <c r="N227" s="27">
        <f t="shared" si="45"/>
        <v>0.59009999999999996</v>
      </c>
      <c r="O227" s="28">
        <f t="shared" si="46"/>
        <v>0.59</v>
      </c>
      <c r="P227" s="29">
        <f t="shared" si="47"/>
        <v>0.59</v>
      </c>
      <c r="Q227" s="54">
        <f t="shared" si="48"/>
        <v>18</v>
      </c>
      <c r="S227" s="52">
        <v>0.59199999999999997</v>
      </c>
    </row>
    <row r="228" spans="1:19" s="30" customFormat="1" ht="13" x14ac:dyDescent="0.2">
      <c r="A228" s="41"/>
      <c r="B228" s="41"/>
      <c r="C228" s="41"/>
      <c r="D228" s="41"/>
      <c r="E228" s="41"/>
      <c r="F228" s="41">
        <f t="shared" si="54"/>
        <v>124</v>
      </c>
      <c r="G228" s="49">
        <f t="shared" si="53"/>
        <v>190</v>
      </c>
      <c r="H228" s="50" t="s">
        <v>285</v>
      </c>
      <c r="I228" s="51">
        <v>62.32</v>
      </c>
      <c r="J228" s="51">
        <v>62.32</v>
      </c>
      <c r="K228" s="52">
        <v>0.66200000000000003</v>
      </c>
      <c r="L228" s="26"/>
      <c r="M228" s="27">
        <f t="shared" si="44"/>
        <v>0.66199840236585872</v>
      </c>
      <c r="N228" s="27">
        <f t="shared" si="45"/>
        <v>0.66200000000000003</v>
      </c>
      <c r="O228" s="28">
        <f t="shared" si="46"/>
        <v>0.66200000000000003</v>
      </c>
      <c r="P228" s="29">
        <f t="shared" si="47"/>
        <v>0.66</v>
      </c>
      <c r="Q228" s="54">
        <f t="shared" si="48"/>
        <v>17</v>
      </c>
      <c r="S228" s="52">
        <v>0.59</v>
      </c>
    </row>
    <row r="229" spans="1:19" s="30" customFormat="1" ht="13" x14ac:dyDescent="0.2">
      <c r="A229" s="41"/>
      <c r="B229" s="41"/>
      <c r="C229" s="41"/>
      <c r="D229" s="41"/>
      <c r="E229" s="41"/>
      <c r="F229" s="41">
        <f t="shared" si="54"/>
        <v>125</v>
      </c>
      <c r="G229" s="49">
        <f t="shared" si="53"/>
        <v>191</v>
      </c>
      <c r="H229" s="50" t="s">
        <v>286</v>
      </c>
      <c r="I229" s="51">
        <v>60.95</v>
      </c>
      <c r="J229" s="51">
        <v>60.95</v>
      </c>
      <c r="K229" s="52">
        <v>0.64700000000000002</v>
      </c>
      <c r="L229" s="26"/>
      <c r="M229" s="27">
        <f t="shared" si="44"/>
        <v>0.64744548498393917</v>
      </c>
      <c r="N229" s="27">
        <f t="shared" si="45"/>
        <v>0.64739999999999998</v>
      </c>
      <c r="O229" s="28">
        <f t="shared" si="46"/>
        <v>0.64700000000000002</v>
      </c>
      <c r="P229" s="29">
        <f t="shared" si="47"/>
        <v>0.65</v>
      </c>
      <c r="Q229" s="54">
        <f t="shared" si="48"/>
        <v>17</v>
      </c>
      <c r="S229" s="52">
        <v>0.66200000000000003</v>
      </c>
    </row>
    <row r="230" spans="1:19" s="30" customFormat="1" ht="13" x14ac:dyDescent="0.2">
      <c r="A230" s="41"/>
      <c r="B230" s="41"/>
      <c r="C230" s="41"/>
      <c r="D230" s="41"/>
      <c r="E230" s="41"/>
      <c r="F230" s="41">
        <f t="shared" si="54"/>
        <v>126</v>
      </c>
      <c r="G230" s="49">
        <f t="shared" si="53"/>
        <v>192</v>
      </c>
      <c r="H230" s="50" t="s">
        <v>287</v>
      </c>
      <c r="I230" s="51">
        <v>61.16</v>
      </c>
      <c r="J230" s="51">
        <v>61.16</v>
      </c>
      <c r="K230" s="52">
        <v>0.65</v>
      </c>
      <c r="L230" s="26"/>
      <c r="M230" s="27">
        <f t="shared" si="44"/>
        <v>0.64967622414467141</v>
      </c>
      <c r="N230" s="27">
        <f t="shared" si="45"/>
        <v>0.64970000000000006</v>
      </c>
      <c r="O230" s="28">
        <f t="shared" si="46"/>
        <v>0.65</v>
      </c>
      <c r="P230" s="29">
        <f t="shared" si="47"/>
        <v>0.65</v>
      </c>
      <c r="Q230" s="54">
        <f t="shared" si="48"/>
        <v>34</v>
      </c>
      <c r="S230" s="52">
        <v>0.64700000000000002</v>
      </c>
    </row>
    <row r="231" spans="1:19" s="30" customFormat="1" ht="13" x14ac:dyDescent="0.2">
      <c r="A231" s="41"/>
      <c r="B231" s="41"/>
      <c r="C231" s="41"/>
      <c r="D231" s="41"/>
      <c r="E231" s="41"/>
      <c r="F231" s="41">
        <f t="shared" si="54"/>
        <v>127</v>
      </c>
      <c r="G231" s="49">
        <f t="shared" si="53"/>
        <v>193</v>
      </c>
      <c r="H231" s="50" t="s">
        <v>288</v>
      </c>
      <c r="I231" s="51">
        <v>61.18</v>
      </c>
      <c r="J231" s="51">
        <v>61.18</v>
      </c>
      <c r="K231" s="52">
        <v>0.65</v>
      </c>
      <c r="L231" s="26"/>
      <c r="M231" s="27">
        <f t="shared" si="44"/>
        <v>0.64988867549331253</v>
      </c>
      <c r="N231" s="27">
        <f t="shared" si="45"/>
        <v>0.64990000000000003</v>
      </c>
      <c r="O231" s="28">
        <f t="shared" si="46"/>
        <v>0.65</v>
      </c>
      <c r="P231" s="29">
        <f t="shared" si="47"/>
        <v>0.65</v>
      </c>
      <c r="Q231" s="54">
        <f t="shared" si="48"/>
        <v>34</v>
      </c>
      <c r="S231" s="52">
        <v>0.65</v>
      </c>
    </row>
    <row r="232" spans="1:19" s="30" customFormat="1" ht="13" x14ac:dyDescent="0.2">
      <c r="A232" s="41"/>
      <c r="B232" s="41"/>
      <c r="C232" s="41"/>
      <c r="D232" s="41"/>
      <c r="E232" s="41"/>
      <c r="F232" s="41">
        <f t="shared" si="54"/>
        <v>128</v>
      </c>
      <c r="G232" s="49">
        <f t="shared" si="53"/>
        <v>194</v>
      </c>
      <c r="H232" s="50" t="s">
        <v>289</v>
      </c>
      <c r="I232" s="51">
        <v>57.23</v>
      </c>
      <c r="J232" s="51">
        <v>57.23</v>
      </c>
      <c r="K232" s="52">
        <v>0.60799999999999998</v>
      </c>
      <c r="L232" s="26"/>
      <c r="M232" s="27">
        <f t="shared" si="44"/>
        <v>0.60792953413668316</v>
      </c>
      <c r="N232" s="27">
        <f t="shared" si="45"/>
        <v>0.6079</v>
      </c>
      <c r="O232" s="28">
        <f t="shared" si="46"/>
        <v>0.60799999999999998</v>
      </c>
      <c r="P232" s="29">
        <f t="shared" si="47"/>
        <v>0.61</v>
      </c>
      <c r="Q232" s="54">
        <f t="shared" si="48"/>
        <v>17</v>
      </c>
      <c r="S232" s="52">
        <v>0.65</v>
      </c>
    </row>
    <row r="233" spans="1:19" s="30" customFormat="1" ht="13" x14ac:dyDescent="0.2">
      <c r="A233" s="41"/>
      <c r="B233" s="41"/>
      <c r="C233" s="41"/>
      <c r="D233" s="41"/>
      <c r="E233" s="41"/>
      <c r="F233" s="41"/>
      <c r="G233" s="42" t="s">
        <v>74</v>
      </c>
      <c r="H233" s="42" t="s">
        <v>290</v>
      </c>
      <c r="I233" s="56"/>
      <c r="J233" s="57"/>
      <c r="K233" s="45"/>
      <c r="L233" s="26"/>
      <c r="M233" s="27"/>
      <c r="N233" s="27"/>
      <c r="O233" s="28"/>
      <c r="P233" s="29"/>
      <c r="Q233" s="54">
        <f t="shared" si="48"/>
        <v>0</v>
      </c>
      <c r="S233" s="52">
        <v>0.60799999999999998</v>
      </c>
    </row>
    <row r="234" spans="1:19" s="30" customFormat="1" x14ac:dyDescent="0.2">
      <c r="A234" s="41"/>
      <c r="B234" s="41"/>
      <c r="C234" s="41"/>
      <c r="D234" s="41"/>
      <c r="E234" s="41"/>
      <c r="F234" s="41"/>
      <c r="G234" s="46"/>
      <c r="H234" s="46" t="s">
        <v>76</v>
      </c>
      <c r="I234" s="47" t="s">
        <v>77</v>
      </c>
      <c r="J234" s="47" t="s">
        <v>78</v>
      </c>
      <c r="K234" s="48" t="s">
        <v>79</v>
      </c>
      <c r="L234" s="26"/>
      <c r="M234" s="27"/>
      <c r="N234" s="27"/>
      <c r="O234" s="28"/>
      <c r="P234" s="29"/>
      <c r="Q234" s="54">
        <f t="shared" si="48"/>
        <v>0</v>
      </c>
      <c r="S234" s="45"/>
    </row>
    <row r="235" spans="1:19" s="30" customFormat="1" ht="13" x14ac:dyDescent="0.2">
      <c r="A235" s="41"/>
      <c r="B235" s="41"/>
      <c r="C235" s="41"/>
      <c r="D235" s="41"/>
      <c r="E235" s="41"/>
      <c r="F235" s="41">
        <f>+F232+1</f>
        <v>129</v>
      </c>
      <c r="G235" s="49">
        <f>+G232+1</f>
        <v>195</v>
      </c>
      <c r="H235" s="50" t="s">
        <v>291</v>
      </c>
      <c r="I235" s="51">
        <v>57.48</v>
      </c>
      <c r="J235" s="51">
        <v>57.48</v>
      </c>
      <c r="K235" s="52">
        <v>0.61099999999999999</v>
      </c>
      <c r="L235" s="26"/>
      <c r="M235" s="27">
        <f t="shared" si="44"/>
        <v>0.61058517599469764</v>
      </c>
      <c r="N235" s="27">
        <f t="shared" si="45"/>
        <v>0.61060000000000003</v>
      </c>
      <c r="O235" s="28">
        <f t="shared" si="46"/>
        <v>0.61099999999999999</v>
      </c>
      <c r="P235" s="29">
        <f t="shared" si="47"/>
        <v>0.61</v>
      </c>
      <c r="Q235" s="54">
        <f t="shared" si="48"/>
        <v>17</v>
      </c>
      <c r="S235" s="48"/>
    </row>
    <row r="236" spans="1:19" s="30" customFormat="1" ht="13" x14ac:dyDescent="0.2">
      <c r="A236" s="41"/>
      <c r="B236" s="41"/>
      <c r="C236" s="41"/>
      <c r="D236" s="41"/>
      <c r="E236" s="41"/>
      <c r="F236" s="41">
        <f>+F235+1</f>
        <v>130</v>
      </c>
      <c r="G236" s="49">
        <f t="shared" ref="G236:G242" si="55">+G235+1</f>
        <v>196</v>
      </c>
      <c r="H236" s="50" t="s">
        <v>292</v>
      </c>
      <c r="I236" s="51">
        <v>55.76</v>
      </c>
      <c r="J236" s="51">
        <v>55.76</v>
      </c>
      <c r="K236" s="52">
        <v>0.59199999999999997</v>
      </c>
      <c r="L236" s="26"/>
      <c r="M236" s="27">
        <f t="shared" si="44"/>
        <v>0.59231436001155779</v>
      </c>
      <c r="N236" s="27">
        <f t="shared" si="45"/>
        <v>0.59230000000000005</v>
      </c>
      <c r="O236" s="28">
        <f t="shared" si="46"/>
        <v>0.59199999999999997</v>
      </c>
      <c r="P236" s="29">
        <f t="shared" si="47"/>
        <v>0.59</v>
      </c>
      <c r="Q236" s="54">
        <f t="shared" si="48"/>
        <v>17</v>
      </c>
      <c r="S236" s="52">
        <v>0.61099999999999999</v>
      </c>
    </row>
    <row r="237" spans="1:19" s="30" customFormat="1" ht="13" x14ac:dyDescent="0.2">
      <c r="A237" s="41"/>
      <c r="B237" s="41"/>
      <c r="C237" s="41"/>
      <c r="D237" s="41"/>
      <c r="E237" s="41"/>
      <c r="F237" s="41">
        <f t="shared" ref="F237:F242" si="56">+F236+1</f>
        <v>131</v>
      </c>
      <c r="G237" s="49">
        <f t="shared" si="55"/>
        <v>197</v>
      </c>
      <c r="H237" s="50" t="s">
        <v>293</v>
      </c>
      <c r="I237" s="51">
        <v>55.55</v>
      </c>
      <c r="J237" s="51">
        <v>55.55</v>
      </c>
      <c r="K237" s="52">
        <v>0.59</v>
      </c>
      <c r="L237" s="26"/>
      <c r="M237" s="27">
        <f t="shared" si="44"/>
        <v>0.59008362085082566</v>
      </c>
      <c r="N237" s="27">
        <f t="shared" si="45"/>
        <v>0.59009999999999996</v>
      </c>
      <c r="O237" s="28">
        <f t="shared" si="46"/>
        <v>0.59</v>
      </c>
      <c r="P237" s="29">
        <f t="shared" si="47"/>
        <v>0.59</v>
      </c>
      <c r="Q237" s="54">
        <f t="shared" si="48"/>
        <v>18</v>
      </c>
      <c r="S237" s="52">
        <v>0.59199999999999997</v>
      </c>
    </row>
    <row r="238" spans="1:19" s="30" customFormat="1" ht="13" x14ac:dyDescent="0.2">
      <c r="A238" s="41"/>
      <c r="B238" s="41"/>
      <c r="C238" s="41"/>
      <c r="D238" s="41"/>
      <c r="E238" s="41"/>
      <c r="F238" s="41">
        <f t="shared" si="56"/>
        <v>132</v>
      </c>
      <c r="G238" s="49">
        <f t="shared" si="55"/>
        <v>198</v>
      </c>
      <c r="H238" s="50" t="s">
        <v>294</v>
      </c>
      <c r="I238" s="51">
        <v>62.32</v>
      </c>
      <c r="J238" s="51">
        <v>62.32</v>
      </c>
      <c r="K238" s="52">
        <v>0.66200000000000003</v>
      </c>
      <c r="L238" s="26"/>
      <c r="M238" s="27">
        <f t="shared" si="44"/>
        <v>0.66199840236585872</v>
      </c>
      <c r="N238" s="27">
        <f t="shared" si="45"/>
        <v>0.66200000000000003</v>
      </c>
      <c r="O238" s="28">
        <f t="shared" si="46"/>
        <v>0.66200000000000003</v>
      </c>
      <c r="P238" s="29">
        <f t="shared" si="47"/>
        <v>0.66</v>
      </c>
      <c r="Q238" s="54">
        <f t="shared" si="48"/>
        <v>17</v>
      </c>
      <c r="S238" s="52">
        <v>0.59</v>
      </c>
    </row>
    <row r="239" spans="1:19" s="30" customFormat="1" ht="13" x14ac:dyDescent="0.2">
      <c r="A239" s="41"/>
      <c r="B239" s="41"/>
      <c r="C239" s="41"/>
      <c r="D239" s="41"/>
      <c r="E239" s="41"/>
      <c r="F239" s="41">
        <f t="shared" si="56"/>
        <v>133</v>
      </c>
      <c r="G239" s="49">
        <f t="shared" si="55"/>
        <v>199</v>
      </c>
      <c r="H239" s="50" t="s">
        <v>295</v>
      </c>
      <c r="I239" s="51">
        <v>60.95</v>
      </c>
      <c r="J239" s="51">
        <v>60.95</v>
      </c>
      <c r="K239" s="52">
        <v>0.64700000000000002</v>
      </c>
      <c r="L239" s="26"/>
      <c r="M239" s="27">
        <f t="shared" si="44"/>
        <v>0.64744548498393917</v>
      </c>
      <c r="N239" s="27">
        <f t="shared" si="45"/>
        <v>0.64739999999999998</v>
      </c>
      <c r="O239" s="28">
        <f t="shared" si="46"/>
        <v>0.64700000000000002</v>
      </c>
      <c r="P239" s="29">
        <f t="shared" si="47"/>
        <v>0.65</v>
      </c>
      <c r="Q239" s="54">
        <f t="shared" si="48"/>
        <v>17</v>
      </c>
      <c r="S239" s="52">
        <v>0.66200000000000003</v>
      </c>
    </row>
    <row r="240" spans="1:19" s="30" customFormat="1" ht="13" x14ac:dyDescent="0.2">
      <c r="A240" s="41"/>
      <c r="B240" s="41"/>
      <c r="C240" s="41"/>
      <c r="D240" s="41"/>
      <c r="E240" s="41"/>
      <c r="F240" s="41">
        <f t="shared" si="56"/>
        <v>134</v>
      </c>
      <c r="G240" s="49">
        <f t="shared" si="55"/>
        <v>200</v>
      </c>
      <c r="H240" s="50" t="s">
        <v>296</v>
      </c>
      <c r="I240" s="51">
        <v>61.16</v>
      </c>
      <c r="J240" s="51">
        <v>61.16</v>
      </c>
      <c r="K240" s="52">
        <v>0.65</v>
      </c>
      <c r="L240" s="26"/>
      <c r="M240" s="27">
        <f t="shared" si="44"/>
        <v>0.64967622414467141</v>
      </c>
      <c r="N240" s="27">
        <f t="shared" si="45"/>
        <v>0.64970000000000006</v>
      </c>
      <c r="O240" s="28">
        <f t="shared" si="46"/>
        <v>0.65</v>
      </c>
      <c r="P240" s="29">
        <f t="shared" si="47"/>
        <v>0.65</v>
      </c>
      <c r="Q240" s="54">
        <f t="shared" si="48"/>
        <v>34</v>
      </c>
      <c r="S240" s="52">
        <v>0.64700000000000002</v>
      </c>
    </row>
    <row r="241" spans="1:19" s="30" customFormat="1" ht="13" x14ac:dyDescent="0.2">
      <c r="A241" s="41"/>
      <c r="B241" s="41"/>
      <c r="C241" s="41"/>
      <c r="D241" s="41"/>
      <c r="E241" s="41"/>
      <c r="F241" s="41">
        <f t="shared" si="56"/>
        <v>135</v>
      </c>
      <c r="G241" s="49">
        <f t="shared" si="55"/>
        <v>201</v>
      </c>
      <c r="H241" s="50" t="s">
        <v>297</v>
      </c>
      <c r="I241" s="51">
        <v>61.18</v>
      </c>
      <c r="J241" s="51">
        <v>61.18</v>
      </c>
      <c r="K241" s="52">
        <v>0.65</v>
      </c>
      <c r="L241" s="26"/>
      <c r="M241" s="27">
        <f t="shared" si="44"/>
        <v>0.64988867549331253</v>
      </c>
      <c r="N241" s="27">
        <f t="shared" si="45"/>
        <v>0.64990000000000003</v>
      </c>
      <c r="O241" s="28">
        <f t="shared" si="46"/>
        <v>0.65</v>
      </c>
      <c r="P241" s="29">
        <f t="shared" si="47"/>
        <v>0.65</v>
      </c>
      <c r="Q241" s="54">
        <f t="shared" si="48"/>
        <v>34</v>
      </c>
      <c r="S241" s="52">
        <v>0.65</v>
      </c>
    </row>
    <row r="242" spans="1:19" s="30" customFormat="1" ht="13" x14ac:dyDescent="0.2">
      <c r="A242" s="41"/>
      <c r="B242" s="41"/>
      <c r="C242" s="41"/>
      <c r="D242" s="41"/>
      <c r="E242" s="41"/>
      <c r="F242" s="41">
        <f t="shared" si="56"/>
        <v>136</v>
      </c>
      <c r="G242" s="49">
        <f t="shared" si="55"/>
        <v>202</v>
      </c>
      <c r="H242" s="50" t="s">
        <v>298</v>
      </c>
      <c r="I242" s="51">
        <v>57.23</v>
      </c>
      <c r="J242" s="51">
        <v>57.23</v>
      </c>
      <c r="K242" s="52">
        <v>0.60799999999999998</v>
      </c>
      <c r="L242" s="26"/>
      <c r="M242" s="27">
        <f t="shared" si="44"/>
        <v>0.60792953413668316</v>
      </c>
      <c r="N242" s="27">
        <f t="shared" si="45"/>
        <v>0.6079</v>
      </c>
      <c r="O242" s="28">
        <f t="shared" si="46"/>
        <v>0.60799999999999998</v>
      </c>
      <c r="P242" s="29">
        <f t="shared" si="47"/>
        <v>0.61</v>
      </c>
      <c r="Q242" s="54">
        <f t="shared" si="48"/>
        <v>17</v>
      </c>
      <c r="S242" s="52">
        <v>0.65</v>
      </c>
    </row>
    <row r="243" spans="1:19" s="30" customFormat="1" ht="13" x14ac:dyDescent="0.2">
      <c r="A243" s="41"/>
      <c r="B243" s="41"/>
      <c r="C243" s="41"/>
      <c r="D243" s="41"/>
      <c r="E243" s="41"/>
      <c r="F243" s="41"/>
      <c r="G243" s="42" t="s">
        <v>74</v>
      </c>
      <c r="H243" s="42" t="s">
        <v>299</v>
      </c>
      <c r="I243" s="56"/>
      <c r="J243" s="57"/>
      <c r="K243" s="45"/>
      <c r="L243" s="26"/>
      <c r="M243" s="27"/>
      <c r="N243" s="27"/>
      <c r="O243" s="28"/>
      <c r="P243" s="29"/>
      <c r="Q243" s="54">
        <f t="shared" si="48"/>
        <v>0</v>
      </c>
      <c r="S243" s="52">
        <v>0.60799999999999998</v>
      </c>
    </row>
    <row r="244" spans="1:19" s="30" customFormat="1" x14ac:dyDescent="0.2">
      <c r="A244" s="41"/>
      <c r="B244" s="41"/>
      <c r="C244" s="41"/>
      <c r="D244" s="41"/>
      <c r="E244" s="41"/>
      <c r="F244" s="41"/>
      <c r="G244" s="46"/>
      <c r="H244" s="46" t="s">
        <v>76</v>
      </c>
      <c r="I244" s="47" t="s">
        <v>77</v>
      </c>
      <c r="J244" s="47" t="s">
        <v>78</v>
      </c>
      <c r="K244" s="48" t="s">
        <v>79</v>
      </c>
      <c r="L244" s="26"/>
      <c r="M244" s="27"/>
      <c r="N244" s="27"/>
      <c r="O244" s="28"/>
      <c r="P244" s="29"/>
      <c r="Q244" s="54">
        <f t="shared" si="48"/>
        <v>0</v>
      </c>
      <c r="S244" s="45"/>
    </row>
    <row r="245" spans="1:19" s="30" customFormat="1" ht="13" x14ac:dyDescent="0.2">
      <c r="A245" s="41"/>
      <c r="B245" s="41"/>
      <c r="C245" s="41"/>
      <c r="D245" s="41"/>
      <c r="E245" s="41"/>
      <c r="F245" s="41">
        <f>+F242+1</f>
        <v>137</v>
      </c>
      <c r="G245" s="49">
        <f>+G242+1</f>
        <v>203</v>
      </c>
      <c r="H245" s="50" t="s">
        <v>300</v>
      </c>
      <c r="I245" s="51">
        <v>57.48</v>
      </c>
      <c r="J245" s="51">
        <v>57.48</v>
      </c>
      <c r="K245" s="52">
        <v>0.61099999999999999</v>
      </c>
      <c r="L245" s="26"/>
      <c r="M245" s="27">
        <f t="shared" si="44"/>
        <v>0.61058517599469764</v>
      </c>
      <c r="N245" s="27">
        <f t="shared" si="45"/>
        <v>0.61060000000000003</v>
      </c>
      <c r="O245" s="28">
        <f t="shared" si="46"/>
        <v>0.61099999999999999</v>
      </c>
      <c r="P245" s="29">
        <f t="shared" si="47"/>
        <v>0.61</v>
      </c>
      <c r="Q245" s="54">
        <f t="shared" si="48"/>
        <v>17</v>
      </c>
      <c r="S245" s="48"/>
    </row>
    <row r="246" spans="1:19" s="30" customFormat="1" ht="13" x14ac:dyDescent="0.2">
      <c r="A246" s="41"/>
      <c r="B246" s="41"/>
      <c r="C246" s="41"/>
      <c r="D246" s="41"/>
      <c r="E246" s="41"/>
      <c r="F246" s="41">
        <f>+F245+1</f>
        <v>138</v>
      </c>
      <c r="G246" s="49">
        <f t="shared" ref="G246:G252" si="57">+G245+1</f>
        <v>204</v>
      </c>
      <c r="H246" s="50" t="s">
        <v>301</v>
      </c>
      <c r="I246" s="51">
        <v>55.76</v>
      </c>
      <c r="J246" s="51">
        <v>55.76</v>
      </c>
      <c r="K246" s="52">
        <v>0.59199999999999997</v>
      </c>
      <c r="L246" s="26"/>
      <c r="M246" s="27">
        <f t="shared" si="44"/>
        <v>0.59231436001155779</v>
      </c>
      <c r="N246" s="27">
        <f t="shared" si="45"/>
        <v>0.59230000000000005</v>
      </c>
      <c r="O246" s="28">
        <f t="shared" si="46"/>
        <v>0.59199999999999997</v>
      </c>
      <c r="P246" s="29">
        <f t="shared" si="47"/>
        <v>0.59</v>
      </c>
      <c r="Q246" s="54">
        <f t="shared" si="48"/>
        <v>17</v>
      </c>
      <c r="S246" s="52">
        <v>0.61099999999999999</v>
      </c>
    </row>
    <row r="247" spans="1:19" s="30" customFormat="1" ht="13" x14ac:dyDescent="0.2">
      <c r="A247" s="41"/>
      <c r="B247" s="41"/>
      <c r="C247" s="41"/>
      <c r="D247" s="41"/>
      <c r="E247" s="41"/>
      <c r="F247" s="41">
        <f t="shared" ref="F247:F252" si="58">+F246+1</f>
        <v>139</v>
      </c>
      <c r="G247" s="49">
        <f t="shared" si="57"/>
        <v>205</v>
      </c>
      <c r="H247" s="50" t="s">
        <v>302</v>
      </c>
      <c r="I247" s="51">
        <v>55.55</v>
      </c>
      <c r="J247" s="51">
        <v>55.55</v>
      </c>
      <c r="K247" s="52">
        <v>0.59</v>
      </c>
      <c r="L247" s="26"/>
      <c r="M247" s="27">
        <f t="shared" si="44"/>
        <v>0.59008362085082566</v>
      </c>
      <c r="N247" s="27">
        <f t="shared" si="45"/>
        <v>0.59009999999999996</v>
      </c>
      <c r="O247" s="28">
        <f t="shared" si="46"/>
        <v>0.59</v>
      </c>
      <c r="P247" s="29">
        <f t="shared" si="47"/>
        <v>0.59</v>
      </c>
      <c r="Q247" s="54">
        <f t="shared" si="48"/>
        <v>18</v>
      </c>
      <c r="S247" s="52">
        <v>0.59199999999999997</v>
      </c>
    </row>
    <row r="248" spans="1:19" s="30" customFormat="1" ht="13" x14ac:dyDescent="0.2">
      <c r="A248" s="41"/>
      <c r="B248" s="41"/>
      <c r="C248" s="41"/>
      <c r="D248" s="41"/>
      <c r="E248" s="41"/>
      <c r="F248" s="41">
        <f t="shared" si="58"/>
        <v>140</v>
      </c>
      <c r="G248" s="49">
        <f t="shared" si="57"/>
        <v>206</v>
      </c>
      <c r="H248" s="50" t="s">
        <v>303</v>
      </c>
      <c r="I248" s="51">
        <v>62.32</v>
      </c>
      <c r="J248" s="51">
        <v>62.32</v>
      </c>
      <c r="K248" s="52">
        <v>0.66200000000000003</v>
      </c>
      <c r="L248" s="26"/>
      <c r="M248" s="27">
        <f t="shared" si="44"/>
        <v>0.66199840236585872</v>
      </c>
      <c r="N248" s="27">
        <f t="shared" si="45"/>
        <v>0.66200000000000003</v>
      </c>
      <c r="O248" s="28">
        <f t="shared" si="46"/>
        <v>0.66200000000000003</v>
      </c>
      <c r="P248" s="29">
        <f t="shared" si="47"/>
        <v>0.66</v>
      </c>
      <c r="Q248" s="54">
        <f t="shared" si="48"/>
        <v>17</v>
      </c>
      <c r="S248" s="52">
        <v>0.59</v>
      </c>
    </row>
    <row r="249" spans="1:19" s="30" customFormat="1" ht="13" x14ac:dyDescent="0.2">
      <c r="A249" s="41"/>
      <c r="B249" s="41"/>
      <c r="C249" s="41"/>
      <c r="D249" s="41"/>
      <c r="E249" s="41"/>
      <c r="F249" s="41">
        <f t="shared" si="58"/>
        <v>141</v>
      </c>
      <c r="G249" s="49">
        <f t="shared" si="57"/>
        <v>207</v>
      </c>
      <c r="H249" s="50" t="s">
        <v>304</v>
      </c>
      <c r="I249" s="51">
        <v>60.95</v>
      </c>
      <c r="J249" s="51">
        <v>60.95</v>
      </c>
      <c r="K249" s="52">
        <v>0.64700000000000002</v>
      </c>
      <c r="L249" s="26"/>
      <c r="M249" s="27">
        <f t="shared" si="44"/>
        <v>0.64744548498393917</v>
      </c>
      <c r="N249" s="27">
        <f t="shared" si="45"/>
        <v>0.64739999999999998</v>
      </c>
      <c r="O249" s="28">
        <f t="shared" si="46"/>
        <v>0.64700000000000002</v>
      </c>
      <c r="P249" s="29">
        <f t="shared" si="47"/>
        <v>0.65</v>
      </c>
      <c r="Q249" s="54">
        <f t="shared" si="48"/>
        <v>17</v>
      </c>
      <c r="S249" s="52">
        <v>0.66200000000000003</v>
      </c>
    </row>
    <row r="250" spans="1:19" s="30" customFormat="1" ht="13" x14ac:dyDescent="0.2">
      <c r="A250" s="41"/>
      <c r="B250" s="41"/>
      <c r="C250" s="41"/>
      <c r="D250" s="41"/>
      <c r="E250" s="41"/>
      <c r="F250" s="41">
        <f t="shared" si="58"/>
        <v>142</v>
      </c>
      <c r="G250" s="49">
        <f t="shared" si="57"/>
        <v>208</v>
      </c>
      <c r="H250" s="50" t="s">
        <v>305</v>
      </c>
      <c r="I250" s="51">
        <v>61.16</v>
      </c>
      <c r="J250" s="51">
        <v>61.16</v>
      </c>
      <c r="K250" s="52">
        <v>0.65</v>
      </c>
      <c r="L250" s="26"/>
      <c r="M250" s="27">
        <f t="shared" si="44"/>
        <v>0.64967622414467141</v>
      </c>
      <c r="N250" s="27">
        <f t="shared" si="45"/>
        <v>0.64970000000000006</v>
      </c>
      <c r="O250" s="28">
        <f t="shared" si="46"/>
        <v>0.65</v>
      </c>
      <c r="P250" s="29">
        <f t="shared" si="47"/>
        <v>0.65</v>
      </c>
      <c r="Q250" s="54">
        <f t="shared" si="48"/>
        <v>34</v>
      </c>
      <c r="S250" s="52">
        <v>0.64700000000000002</v>
      </c>
    </row>
    <row r="251" spans="1:19" s="30" customFormat="1" ht="13" x14ac:dyDescent="0.2">
      <c r="A251" s="41"/>
      <c r="B251" s="41"/>
      <c r="C251" s="41"/>
      <c r="D251" s="41"/>
      <c r="E251" s="41"/>
      <c r="F251" s="41">
        <f t="shared" si="58"/>
        <v>143</v>
      </c>
      <c r="G251" s="49">
        <f t="shared" si="57"/>
        <v>209</v>
      </c>
      <c r="H251" s="50" t="s">
        <v>306</v>
      </c>
      <c r="I251" s="51">
        <v>61.18</v>
      </c>
      <c r="J251" s="51">
        <v>61.18</v>
      </c>
      <c r="K251" s="52">
        <v>0.65</v>
      </c>
      <c r="L251" s="26"/>
      <c r="M251" s="27">
        <f t="shared" si="44"/>
        <v>0.64988867549331253</v>
      </c>
      <c r="N251" s="27">
        <f t="shared" si="45"/>
        <v>0.64990000000000003</v>
      </c>
      <c r="O251" s="28">
        <f t="shared" si="46"/>
        <v>0.65</v>
      </c>
      <c r="P251" s="29">
        <f t="shared" si="47"/>
        <v>0.65</v>
      </c>
      <c r="Q251" s="54">
        <f t="shared" si="48"/>
        <v>34</v>
      </c>
      <c r="S251" s="52">
        <v>0.65</v>
      </c>
    </row>
    <row r="252" spans="1:19" s="30" customFormat="1" ht="13" x14ac:dyDescent="0.2">
      <c r="A252" s="41"/>
      <c r="B252" s="41"/>
      <c r="C252" s="41"/>
      <c r="D252" s="41"/>
      <c r="E252" s="41"/>
      <c r="F252" s="41">
        <f t="shared" si="58"/>
        <v>144</v>
      </c>
      <c r="G252" s="49">
        <f t="shared" si="57"/>
        <v>210</v>
      </c>
      <c r="H252" s="50" t="s">
        <v>307</v>
      </c>
      <c r="I252" s="51">
        <v>57.23</v>
      </c>
      <c r="J252" s="51">
        <v>57.23</v>
      </c>
      <c r="K252" s="52">
        <v>0.60799999999999998</v>
      </c>
      <c r="L252" s="26"/>
      <c r="M252" s="27">
        <f t="shared" si="44"/>
        <v>0.60792953413668316</v>
      </c>
      <c r="N252" s="27">
        <f t="shared" si="45"/>
        <v>0.6079</v>
      </c>
      <c r="O252" s="28">
        <f t="shared" si="46"/>
        <v>0.60799999999999998</v>
      </c>
      <c r="P252" s="29">
        <f t="shared" si="47"/>
        <v>0.61</v>
      </c>
      <c r="Q252" s="54">
        <f t="shared" si="48"/>
        <v>17</v>
      </c>
      <c r="S252" s="52">
        <v>0.65</v>
      </c>
    </row>
    <row r="253" spans="1:19" s="30" customFormat="1" ht="13" x14ac:dyDescent="0.2">
      <c r="A253" s="36"/>
      <c r="B253" s="36"/>
      <c r="C253" s="36"/>
      <c r="D253" s="36"/>
      <c r="E253" s="36"/>
      <c r="F253" s="41"/>
      <c r="G253" s="36"/>
      <c r="H253" s="58" t="s">
        <v>67</v>
      </c>
      <c r="I253" s="59">
        <f>SUM(I6:I252)</f>
        <v>9413.9199999999928</v>
      </c>
      <c r="J253" s="59">
        <f>SUM(J6:J252)</f>
        <v>9413.9199999999928</v>
      </c>
      <c r="K253" s="60">
        <f>SUM(K6:K252)</f>
        <v>100.00000000000017</v>
      </c>
      <c r="L253" s="26"/>
      <c r="M253" s="61">
        <f>SUM(M7:M252)</f>
        <v>100.00000000000003</v>
      </c>
      <c r="N253" s="61">
        <f t="shared" ref="N253:P253" si="59">SUM(N7:N252)</f>
        <v>99.999600000000129</v>
      </c>
      <c r="O253" s="62">
        <f t="shared" si="59"/>
        <v>100.00000000000017</v>
      </c>
      <c r="P253" s="63">
        <f t="shared" si="59"/>
        <v>99.91000000000011</v>
      </c>
      <c r="S253" s="52">
        <v>0.60799999999999998</v>
      </c>
    </row>
    <row r="254" spans="1:19" x14ac:dyDescent="0.2">
      <c r="O254" s="67">
        <f>+O253-100</f>
        <v>1.7053025658242404E-13</v>
      </c>
      <c r="S254" s="67">
        <f>SUM(S76:S253)</f>
        <v>90.425000000000111</v>
      </c>
    </row>
  </sheetData>
  <mergeCells count="2">
    <mergeCell ref="G2:K2"/>
    <mergeCell ref="G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General</vt:lpstr>
      <vt:lpstr>PORCENTAJE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Guevara Ames</dc:creator>
  <cp:lastModifiedBy>Jhonatan Guevara Ames</cp:lastModifiedBy>
  <dcterms:created xsi:type="dcterms:W3CDTF">2026-07-06T19:47:48Z</dcterms:created>
  <dcterms:modified xsi:type="dcterms:W3CDTF">2026-07-06T19:48:46Z</dcterms:modified>
</cp:coreProperties>
</file>